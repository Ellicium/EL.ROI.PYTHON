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550" firstSheet="7" activeTab="21"/>
  </bookViews>
  <sheets>
    <sheet name="RPA RoadMap (2)" sheetId="10" state="hidden" r:id="rId1"/>
    <sheet name="RPA RoadMap (3)" sheetId="15" state="hidden" r:id="rId2"/>
    <sheet name="OverallProcesses" sheetId="9" state="hidden" r:id="rId3"/>
    <sheet name="Inventory" sheetId="1" state="hidden" r:id="rId4"/>
    <sheet name="Sheet1" sheetId="12" state="hidden" r:id="rId5"/>
    <sheet name="Sheet2" sheetId="13" state="hidden" r:id="rId6"/>
    <sheet name="Complexity Guidelines" sheetId="3" r:id="rId7"/>
    <sheet name="ROI" sheetId="30" r:id="rId8"/>
    <sheet name="License" sheetId="2" r:id="rId9"/>
    <sheet name="RPA RoadMap" sheetId="6" state="hidden" r:id="rId10"/>
    <sheet name="RPA_SOP_Analysis_ABG Team SI-2" sheetId="23" state="hidden" r:id="rId11"/>
    <sheet name="RPA_SOP_Analysis_ABG Team" sheetId="21" state="hidden" r:id="rId12"/>
    <sheet name="RPA_SOP_Analysis_ABG Team SI" sheetId="22" state="hidden" r:id="rId13"/>
    <sheet name="RPA_SOP_Analysis" sheetId="19" state="hidden" r:id="rId14"/>
    <sheet name="Gantt" sheetId="14" state="hidden" r:id="rId15"/>
    <sheet name="RPA ProcessCount_Frequency" sheetId="18" state="hidden" r:id="rId16"/>
    <sheet name="ROI Toolkit Parameters" sheetId="16" state="hidden" r:id="rId17"/>
    <sheet name="ROI-V1" sheetId="24" state="hidden" r:id="rId18"/>
    <sheet name="ROI-V2" sheetId="28" state="hidden" r:id="rId19"/>
    <sheet name="Configurations" sheetId="26" state="hidden" r:id="rId20"/>
    <sheet name="Runner Cost Verification" sheetId="27" state="hidden" r:id="rId21"/>
    <sheet name="Assumptions" sheetId="25" r:id="rId22"/>
    <sheet name="Estimation Guidelines" sheetId="7" r:id="rId23"/>
  </sheets>
  <definedNames>
    <definedName name="_xlnm._FilterDatabase" localSheetId="0" hidden="1">'RPA RoadMap (2)'!$A$1:$J$47</definedName>
    <definedName name="_xlnm._FilterDatabase" localSheetId="1" hidden="1">'RPA RoadMap (3)'!$A$2:$AK$48</definedName>
    <definedName name="_xlnm._FilterDatabase" localSheetId="2" hidden="1">OverallProcesses!$A$2:$C$300</definedName>
    <definedName name="_xlnm._FilterDatabase" localSheetId="9" hidden="1">'RPA RoadMap'!$A$3:$BW$50</definedName>
    <definedName name="_xlnm._FilterDatabase" localSheetId="10" hidden="1">'RPA_SOP_Analysis_ABG Team SI-2'!$A$2:$R$39</definedName>
    <definedName name="_xlnm._FilterDatabase" localSheetId="11" hidden="1">'RPA_SOP_Analysis_ABG Team'!$A$2:$R$39</definedName>
    <definedName name="_xlnm._FilterDatabase" localSheetId="12" hidden="1">'RPA_SOP_Analysis_ABG Team SI'!$A$2:$R$39</definedName>
    <definedName name="_xlnm._FilterDatabase" localSheetId="13" hidden="1">RPA_SOP_Analysis!$A$2:$P$33</definedName>
    <definedName name="_xlnm._FilterDatabase" localSheetId="17" hidden="1">'ROI-V1'!$A$3:$AC$28</definedName>
    <definedName name="_xlnm._FilterDatabase" localSheetId="3" hidden="1">Inventory!$A$1:$Z$36</definedName>
    <definedName name="_xlnm._FilterDatabase" localSheetId="7" hidden="1">ROI!$A$4:$AA$6</definedName>
  </definedNames>
  <calcPr calcId="191029"/>
  <pivotCaches>
    <pivotCache cacheId="0" r:id="rId27"/>
    <pivotCache cacheId="1" r:id="rId28"/>
    <pivotCache cacheId="2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Abhishek_Gumasta</author>
  </authors>
  <commentList>
    <comment ref="G6" authorId="0">
      <text>
        <r>
          <rPr>
            <sz val="9"/>
            <rFont val="Tahoma"/>
            <charset val="134"/>
          </rPr>
          <t>Average Document Verification Time</t>
        </r>
      </text>
    </comment>
    <comment ref="G8" authorId="0">
      <text>
        <r>
          <rPr>
            <sz val="9"/>
            <rFont val="Tahoma"/>
            <charset val="134"/>
          </rPr>
          <t>Average Document Verification Time</t>
        </r>
      </text>
    </comment>
  </commentList>
</comments>
</file>

<file path=xl/comments2.xml><?xml version="1.0" encoding="utf-8"?>
<comments xmlns="http://schemas.openxmlformats.org/spreadsheetml/2006/main">
  <authors>
    <author>Abhishek_Gumasta</author>
  </authors>
  <commentList>
    <comment ref="G8" authorId="0">
      <text>
        <r>
          <rPr>
            <sz val="9"/>
            <rFont val="Tahoma"/>
            <charset val="134"/>
          </rPr>
          <t>Average Document Verification Time</t>
        </r>
      </text>
    </comment>
    <comment ref="G9" authorId="0">
      <text>
        <r>
          <rPr>
            <sz val="9"/>
            <rFont val="Tahoma"/>
            <charset val="134"/>
          </rPr>
          <t>Average Document Verification Time</t>
        </r>
      </text>
    </comment>
  </commentList>
</comments>
</file>

<file path=xl/comments3.xml><?xml version="1.0" encoding="utf-8"?>
<comments xmlns="http://schemas.openxmlformats.org/spreadsheetml/2006/main">
  <authors>
    <author>Abhishek_Gumasta</author>
  </authors>
  <commentList>
    <comment ref="G6" authorId="0">
      <text>
        <r>
          <rPr>
            <sz val="9"/>
            <rFont val="Tahoma"/>
            <charset val="134"/>
          </rPr>
          <t>Average Document Verification Time</t>
        </r>
      </text>
    </comment>
    <comment ref="G8" authorId="0">
      <text>
        <r>
          <rPr>
            <sz val="9"/>
            <rFont val="Tahoma"/>
            <charset val="134"/>
          </rPr>
          <t>Average Document Verification Time</t>
        </r>
      </text>
    </comment>
  </commentList>
</comments>
</file>

<file path=xl/sharedStrings.xml><?xml version="1.0" encoding="utf-8"?>
<sst xmlns="http://schemas.openxmlformats.org/spreadsheetml/2006/main" count="3009" uniqueCount="642">
  <si>
    <t>Sr#</t>
  </si>
  <si>
    <t>UseCase Name</t>
  </si>
  <si>
    <t>Average Transactions (Annual)</t>
  </si>
  <si>
    <t>OCR / NON-OCR</t>
  </si>
  <si>
    <t>Already in production</t>
  </si>
  <si>
    <t>Automation Required</t>
  </si>
  <si>
    <t>RPA Complexity</t>
  </si>
  <si>
    <t>Estimated Efforts(Weeks)</t>
  </si>
  <si>
    <t>Developer</t>
  </si>
  <si>
    <t>Timeline</t>
  </si>
  <si>
    <t>Data Change – Override Manager</t>
  </si>
  <si>
    <t>NON-OCR</t>
  </si>
  <si>
    <t>Y</t>
  </si>
  <si>
    <t>Medium</t>
  </si>
  <si>
    <t>Varun</t>
  </si>
  <si>
    <t>Data Change – Use Position Reports To</t>
  </si>
  <si>
    <t>Simple</t>
  </si>
  <si>
    <t>Job Architecture</t>
  </si>
  <si>
    <t>Job Description Update</t>
  </si>
  <si>
    <t>N</t>
  </si>
  <si>
    <t>Complex</t>
  </si>
  <si>
    <t>Kishor</t>
  </si>
  <si>
    <t>Mar-April</t>
  </si>
  <si>
    <t>Data Change – Override Person Job Band</t>
  </si>
  <si>
    <t>Data Change – Use Position Job Band</t>
  </si>
  <si>
    <t>Data Change – Data Change</t>
  </si>
  <si>
    <t>May</t>
  </si>
  <si>
    <t>External Hire Poornata ID creation</t>
  </si>
  <si>
    <t>June- July</t>
  </si>
  <si>
    <t>Poornata ID creation (Add a Person - Smart HR)</t>
  </si>
  <si>
    <t>Poornata ID Creation (Add a Person) - Excel Template</t>
  </si>
  <si>
    <t>Aug-Sep</t>
  </si>
  <si>
    <t>Poornata ID Creation (Add POI/CWR)</t>
  </si>
  <si>
    <t>Job Data Update (Confirmation/Confirmation with pay rate change/Mobility)</t>
  </si>
  <si>
    <t>OCR</t>
  </si>
  <si>
    <t>Rutuja , Vibhav</t>
  </si>
  <si>
    <t>Nov-Dec-Jan-Feb</t>
  </si>
  <si>
    <t>Personal Data Update (Excluding Bulk volume-43,274)</t>
  </si>
  <si>
    <t>Compensation Update (Excluding bulk volume-71,968)</t>
  </si>
  <si>
    <t>Creation of Potential Assessment Document</t>
  </si>
  <si>
    <t>Oct-Nov 2024</t>
  </si>
  <si>
    <t>Poornata ID Creation (Add a Person) (Proposed Process Change)</t>
  </si>
  <si>
    <t>Aug-Sep-Oct</t>
  </si>
  <si>
    <t>Bank Data Update</t>
  </si>
  <si>
    <t xml:space="preserve">April - May-June-July </t>
  </si>
  <si>
    <t>Poornata ID creation (Through External Hire) – QC action and update if missing data-Proposed process change</t>
  </si>
  <si>
    <t>Education Data</t>
  </si>
  <si>
    <t>April - May-June-July</t>
  </si>
  <si>
    <t>National ID, PAN, Aadhar, Passport, Visa, Address</t>
  </si>
  <si>
    <t xml:space="preserve">Learning Session creation </t>
  </si>
  <si>
    <t>Leave Balance upload</t>
  </si>
  <si>
    <t>Dec-Jan</t>
  </si>
  <si>
    <t>BGV initiation and Report upload 
Initiate – 20 mins
Report upload 10 mins</t>
  </si>
  <si>
    <t>Feb-Mar 2025</t>
  </si>
  <si>
    <t>FnF Settlement</t>
  </si>
  <si>
    <t>Ganesh / Tushar</t>
  </si>
  <si>
    <t>April - May</t>
  </si>
  <si>
    <t>Maker-Checker - ACR Letter</t>
  </si>
  <si>
    <t>June- July -Aug</t>
  </si>
  <si>
    <t>Ticket Creater</t>
  </si>
  <si>
    <t>Talent Profile Creation BOT</t>
  </si>
  <si>
    <t>Poornata Status update - SR Update in Transaction</t>
  </si>
  <si>
    <t>Viji</t>
  </si>
  <si>
    <t>Audit Sampling</t>
  </si>
  <si>
    <t>Create a Dashboard</t>
  </si>
  <si>
    <t>Cement ticket creator</t>
  </si>
  <si>
    <t>Potential Assesment</t>
  </si>
  <si>
    <t>PH Link Initiation (ABCAP)</t>
  </si>
  <si>
    <t>Cancelling of performance document</t>
  </si>
  <si>
    <t>April-May 2025</t>
  </si>
  <si>
    <t>Creation and Assigning of Curriculum/ Deeplinks/ Online Courses/ Uploading Videos</t>
  </si>
  <si>
    <t>June-July 2025</t>
  </si>
  <si>
    <t>Creation of performance document</t>
  </si>
  <si>
    <t>Aug-Sep 2025</t>
  </si>
  <si>
    <t>Exit_Approval reassignment for Clearance</t>
  </si>
  <si>
    <t>Oct-Nov 2025</t>
  </si>
  <si>
    <t>Holiday Schedule upload</t>
  </si>
  <si>
    <t>Incident Class. / Data / sync issue</t>
  </si>
  <si>
    <t>Jan - Feb 2026</t>
  </si>
  <si>
    <t>JD linkage</t>
  </si>
  <si>
    <t>March-April 2026</t>
  </si>
  <si>
    <t>Job Data Update</t>
  </si>
  <si>
    <t>Job Data Update (Resignation, Separation and Transfer)</t>
  </si>
  <si>
    <t>Mobility_HR Initiated Transfer</t>
  </si>
  <si>
    <t>New/ Old Event</t>
  </si>
  <si>
    <t>Onboarding Initiation</t>
  </si>
  <si>
    <t>Position Creation/ Updation/ Deactivation and JD Linkage (Job Arch ???)</t>
  </si>
  <si>
    <t>RPA Use Cases</t>
  </si>
  <si>
    <t>Smonth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</si>
  <si>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</si>
  <si>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</si>
  <si>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</si>
  <si>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</si>
  <si>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</si>
  <si>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</si>
  <si>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</si>
  <si>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</si>
  <si>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</si>
  <si>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</si>
  <si>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</si>
  <si>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Rutuja</t>
  </si>
  <si>
    <t>Apr-May-25</t>
  </si>
  <si>
    <t>Apr-May-Jun-25</t>
  </si>
  <si>
    <t>Jun-Jul-Aug-25</t>
  </si>
  <si>
    <t>Aug-Sep-25</t>
  </si>
  <si>
    <t>Sep-Oct-25</t>
  </si>
  <si>
    <t>Oct-Nov-25</t>
  </si>
  <si>
    <t>Jan-Feb-26</t>
  </si>
  <si>
    <t>Nov-Dec-25</t>
  </si>
  <si>
    <t>Mar-Apr-26</t>
  </si>
  <si>
    <t>Dec-Jan-Feb-26</t>
  </si>
  <si>
    <t>Mar-Apr-May-26</t>
  </si>
  <si>
    <t>Final category</t>
  </si>
  <si>
    <t>Final catalog</t>
  </si>
  <si>
    <t>Total</t>
  </si>
  <si>
    <t>WFA</t>
  </si>
  <si>
    <t>ABCap Prospective Hire Link Creation</t>
  </si>
  <si>
    <t>Compensation Update</t>
  </si>
  <si>
    <t>Confirmation</t>
  </si>
  <si>
    <t>Confirmation with Payrate Change</t>
  </si>
  <si>
    <t>Confirmation with Payrate Change and Promotion</t>
  </si>
  <si>
    <t>Data Change - Data Change</t>
  </si>
  <si>
    <t>Data Change - Override Manager</t>
  </si>
  <si>
    <t>Data Change - Override Person Job Band</t>
  </si>
  <si>
    <t>Data Change - Use Position Job Band</t>
  </si>
  <si>
    <t>Data Change - Use Position Reports To</t>
  </si>
  <si>
    <t>Exit_Approval reassignment for Resignation</t>
  </si>
  <si>
    <t>Exit_Resignation Withdrawal</t>
  </si>
  <si>
    <t>Exit_Resignation/Separation/ Termination</t>
  </si>
  <si>
    <t>Holiday Schedule Creation/Updation</t>
  </si>
  <si>
    <t>HR Process (Employee Self Services) / Name Change</t>
  </si>
  <si>
    <t>Job Code Creation</t>
  </si>
  <si>
    <t>Mobility_Clearance reassignment</t>
  </si>
  <si>
    <t>New Leave Configuration</t>
  </si>
  <si>
    <t>null</t>
  </si>
  <si>
    <t>Personal Data Update</t>
  </si>
  <si>
    <t>Poornata ID Creation (Add a Person)</t>
  </si>
  <si>
    <t>Poornata ID creation (Through External Hire) - Business</t>
  </si>
  <si>
    <t>Poornata ID creation (Through External Hire) - SeamEx</t>
  </si>
  <si>
    <t>Position Creation/ Updation/ Deactivation</t>
  </si>
  <si>
    <t>Position Creation/ Updation/ Deactivation and JD Linkage</t>
  </si>
  <si>
    <t>Position creation/update</t>
  </si>
  <si>
    <t>Probation Extension</t>
  </si>
  <si>
    <t>Setup /Configuration Changes Required</t>
  </si>
  <si>
    <t>WFA (Job data update)</t>
  </si>
  <si>
    <t>WFA Others</t>
  </si>
  <si>
    <t>Workforce Administration</t>
  </si>
  <si>
    <t>Date of Birth Update</t>
  </si>
  <si>
    <t>Mobility- Transfers</t>
  </si>
  <si>
    <t>Data Change - Full time to Part time</t>
  </si>
  <si>
    <t>Changes in Configuration</t>
  </si>
  <si>
    <t>Department Creation/Updation</t>
  </si>
  <si>
    <t>Changes in Setup</t>
  </si>
  <si>
    <t>WFA (Personal data update)</t>
  </si>
  <si>
    <t>Service Request Access Required</t>
  </si>
  <si>
    <t>Changes in Report</t>
  </si>
  <si>
    <t>Cost Centre Creation/Updation</t>
  </si>
  <si>
    <t>Admin Access Request</t>
  </si>
  <si>
    <t>Personal Data</t>
  </si>
  <si>
    <t>WFA Total</t>
  </si>
  <si>
    <t>JAE</t>
  </si>
  <si>
    <t>Incident Class. / Admin / Tech Issues</t>
  </si>
  <si>
    <t>Standard Job creation/update</t>
  </si>
  <si>
    <t>JAE and Position Management</t>
  </si>
  <si>
    <t>JAE Total</t>
  </si>
  <si>
    <t>TM</t>
  </si>
  <si>
    <t>Business PMS Calendar Update</t>
  </si>
  <si>
    <t>Cancellation of Potential Assessment document</t>
  </si>
  <si>
    <t>Domo Reports Access Request (GVC- Elearning)</t>
  </si>
  <si>
    <t>Incident Class. / Access Issues</t>
  </si>
  <si>
    <t>Initiate Background Verification Check</t>
  </si>
  <si>
    <t>Initiate EP File Check</t>
  </si>
  <si>
    <t>Process Queries</t>
  </si>
  <si>
    <t>Report generation for talent discussions</t>
  </si>
  <si>
    <t>Request for Reports/Data (Other Modules)</t>
  </si>
  <si>
    <t>Request for Reports/Data (PMS, Talent and Compensation)</t>
  </si>
  <si>
    <t>Talent discussions outcome updation</t>
  </si>
  <si>
    <t>Transfer of performance document</t>
  </si>
  <si>
    <t>Succession Planning Updates</t>
  </si>
  <si>
    <t>ITM - Transfer Compass Assessment Form ( for more than one employee)</t>
  </si>
  <si>
    <t>Transfer of Potential Assessment document</t>
  </si>
  <si>
    <t>Re-opening of Potential Assessment document</t>
  </si>
  <si>
    <t>Pre-closure of Potential Assessment Document</t>
  </si>
  <si>
    <t>Generate Existing Report</t>
  </si>
  <si>
    <t>Any other request</t>
  </si>
  <si>
    <t>TM Total</t>
  </si>
  <si>
    <t>TS</t>
  </si>
  <si>
    <t>ABMCPL - 1st Day joining forms</t>
  </si>
  <si>
    <t>Blacklisting</t>
  </si>
  <si>
    <t>Email Notification to Internal B and C category Applicants</t>
  </si>
  <si>
    <t>Initiate EJF Verification Process</t>
  </si>
  <si>
    <t>Initiate Medical Check</t>
  </si>
  <si>
    <t>Job Requisition creation and On-boarding</t>
  </si>
  <si>
    <t>Onboarding Initiation request ( confidential hiring)</t>
  </si>
  <si>
    <t>Vendor Creation</t>
  </si>
  <si>
    <t>Talent Staffing - Global</t>
  </si>
  <si>
    <t>Blacklisting with Separation</t>
  </si>
  <si>
    <t>Job Requisition Creation (Taleo updation and offer extension)</t>
  </si>
  <si>
    <t>TS Total</t>
  </si>
  <si>
    <t>PMS</t>
  </si>
  <si>
    <t>Approval of documents on system</t>
  </si>
  <si>
    <t>Assign Goals to Employees</t>
  </si>
  <si>
    <t>Cancellation of Probation Document</t>
  </si>
  <si>
    <t>Closure of performance document</t>
  </si>
  <si>
    <t>Creation of Probation Document</t>
  </si>
  <si>
    <t>Goal library and sample goal updation</t>
  </si>
  <si>
    <t>PIP Document</t>
  </si>
  <si>
    <t>Reopening of Manager Evaluation</t>
  </si>
  <si>
    <t>Reopening of Mid-year and Goal setting</t>
  </si>
  <si>
    <t>Reopening of performance document</t>
  </si>
  <si>
    <t>Reopening of Probation Document</t>
  </si>
  <si>
    <t>Reopening of Self Evaluation</t>
  </si>
  <si>
    <t>Transfer of Probation Document</t>
  </si>
  <si>
    <t>Transfer of Probation Documents</t>
  </si>
  <si>
    <t>Create Venue</t>
  </si>
  <si>
    <t>PMS Total</t>
  </si>
  <si>
    <t>JOB Arch</t>
  </si>
  <si>
    <t>JOB Arch Total</t>
  </si>
  <si>
    <t>LM</t>
  </si>
  <si>
    <t>Add new user-Bulk</t>
  </si>
  <si>
    <t>Add Participants</t>
  </si>
  <si>
    <t>Add Trainer</t>
  </si>
  <si>
    <t>Adding/Deleting users in Channels/Groups</t>
  </si>
  <si>
    <t>Admin Access Required</t>
  </si>
  <si>
    <t>Attendance and Roster Updation</t>
  </si>
  <si>
    <t>Create evaluation form</t>
  </si>
  <si>
    <t>Create Event(s)</t>
  </si>
  <si>
    <t>Create Session(s)</t>
  </si>
  <si>
    <t>Creating Online Courses</t>
  </si>
  <si>
    <t>Creation of  Smartcards (Link/Video/Poll/Quiz/Text/SCORM/Live Event)</t>
  </si>
  <si>
    <t>Custom report creation</t>
  </si>
  <si>
    <t>Custom Reports</t>
  </si>
  <si>
    <t>Edit Event(s)</t>
  </si>
  <si>
    <t>E-learning assignment</t>
  </si>
  <si>
    <t>HR Process (Employee Self Services) / Education data</t>
  </si>
  <si>
    <t>HR Process (Employee Self Services) / Marital Status</t>
  </si>
  <si>
    <t>Incident Class. / Errors / Bugs Identified</t>
  </si>
  <si>
    <t>Incident Class. / Knowledge Query</t>
  </si>
  <si>
    <t>New/ Old Session</t>
  </si>
  <si>
    <t>Other Learning Activities</t>
  </si>
  <si>
    <t>MDP bulk assignment</t>
  </si>
  <si>
    <t>Learning Management</t>
  </si>
  <si>
    <t>HR Process (Employee Self Services) / Address Change</t>
  </si>
  <si>
    <t>Test related activities</t>
  </si>
  <si>
    <t>Standard report generation</t>
  </si>
  <si>
    <t>Add new user-Manual</t>
  </si>
  <si>
    <t>Edit Session(s)</t>
  </si>
  <si>
    <t>Add user to CSOD</t>
  </si>
  <si>
    <t>(blank)</t>
  </si>
  <si>
    <t>LM Total</t>
  </si>
  <si>
    <t>GVC</t>
  </si>
  <si>
    <t>Creation and editing of Channel/ Journeys/ Pathways/ Groups/ Smartcard</t>
  </si>
  <si>
    <t>Creation of Channels</t>
  </si>
  <si>
    <t>Creation of Curriculum</t>
  </si>
  <si>
    <t>Creation of Deeplinks</t>
  </si>
  <si>
    <t>Domo Reports Request (Channel Consumption/ User Analytics/ Group Analytics)</t>
  </si>
  <si>
    <t>GVC - elearning</t>
  </si>
  <si>
    <t>HR Process (Employee Self Services) / Citizenship Details Passport</t>
  </si>
  <si>
    <t>Training Course</t>
  </si>
  <si>
    <t>Incident Class. / Portal Content Issues</t>
  </si>
  <si>
    <t>Mapping certificate with course/curriculum/video</t>
  </si>
  <si>
    <t>Uploading Videos</t>
  </si>
  <si>
    <t>Assigning Curriculum/ Courses/ Videos/ Materials</t>
  </si>
  <si>
    <t>Access Required</t>
  </si>
  <si>
    <t>Data Request</t>
  </si>
  <si>
    <t>Assigning Content to users</t>
  </si>
  <si>
    <t>Creation of Journeys/Pathways/Groups</t>
  </si>
  <si>
    <t>GVC Total</t>
  </si>
  <si>
    <t>ESS</t>
  </si>
  <si>
    <t>Address Change</t>
  </si>
  <si>
    <t>Employee Self Service</t>
  </si>
  <si>
    <t>Incident Class. / Bug due to data missing</t>
  </si>
  <si>
    <t>License and Certifications</t>
  </si>
  <si>
    <t>Marital Status</t>
  </si>
  <si>
    <t>Name Change</t>
  </si>
  <si>
    <t>National id</t>
  </si>
  <si>
    <t>Prior Work Experience</t>
  </si>
  <si>
    <t>HR Process (Employee Self Services) / License and Certifications</t>
  </si>
  <si>
    <t>HR Process (Employee Self Services) / National ID</t>
  </si>
  <si>
    <t xml:space="preserve"> Education data</t>
  </si>
  <si>
    <t xml:space="preserve"> Marital Status</t>
  </si>
  <si>
    <t>Citizenship Details Passport</t>
  </si>
  <si>
    <t xml:space="preserve"> Prior Work Experience</t>
  </si>
  <si>
    <t>Incident Class. / Scheduled Activity / Process Failure</t>
  </si>
  <si>
    <t>Incident Class. / System Downtime</t>
  </si>
  <si>
    <t>ESS Total</t>
  </si>
  <si>
    <t>LP</t>
  </si>
  <si>
    <t>LP Total</t>
  </si>
  <si>
    <t>Rewards</t>
  </si>
  <si>
    <t>AIP system setup - define/update plan goals and update business user access</t>
  </si>
  <si>
    <t>APCR cycle first time administration</t>
  </si>
  <si>
    <t>Rewards Total</t>
  </si>
  <si>
    <t>Pratibha</t>
  </si>
  <si>
    <t>Pratibha Total</t>
  </si>
  <si>
    <t>OE EE</t>
  </si>
  <si>
    <t>Email response</t>
  </si>
  <si>
    <t>OE EE Total</t>
  </si>
  <si>
    <t>Transaction Name</t>
  </si>
  <si>
    <t>Priority on Symphony (Filter Used)</t>
  </si>
  <si>
    <t>Average Transactions (Monthly)</t>
  </si>
  <si>
    <t>AHT Manual (In Min's)</t>
  </si>
  <si>
    <t>Total AHT  (HR)</t>
  </si>
  <si>
    <t>Frequency</t>
  </si>
  <si>
    <t>SLA</t>
  </si>
  <si>
    <t>Response SLA
Resolution SLA
(Annual)</t>
  </si>
  <si>
    <t>Processing Hours</t>
  </si>
  <si>
    <t>Weekend BOT Run</t>
  </si>
  <si>
    <t>Peak Period</t>
  </si>
  <si>
    <t>RPA Priority</t>
  </si>
  <si>
    <t>Applications Name</t>
  </si>
  <si>
    <t>Tickets Containing OCR Documents
(%)</t>
  </si>
  <si>
    <t>OCR Required</t>
  </si>
  <si>
    <t>Complexity</t>
  </si>
  <si>
    <t>Impact</t>
  </si>
  <si>
    <t>RPA AHT (Per Transaction)</t>
  </si>
  <si>
    <t>Total Hrs (Daily)</t>
  </si>
  <si>
    <t xml:space="preserve"> Status</t>
  </si>
  <si>
    <t>WFA_DTCHNG_OVRMGR-MEDIUM</t>
  </si>
  <si>
    <t>Daily</t>
  </si>
  <si>
    <t>24 Hrs</t>
  </si>
  <si>
    <t>98.81%
99.90%</t>
  </si>
  <si>
    <t>Business Hours</t>
  </si>
  <si>
    <t>Yes</t>
  </si>
  <si>
    <t>March</t>
  </si>
  <si>
    <t>Symphony, PeopleSoft
Read from Excel</t>
  </si>
  <si>
    <t>Non OCR</t>
  </si>
  <si>
    <t>High</t>
  </si>
  <si>
    <t>Deployed in Production</t>
  </si>
  <si>
    <t>WFA_DTCHNG_USEPOMGR_MEDIUM</t>
  </si>
  <si>
    <t>99.81%
99.90%</t>
  </si>
  <si>
    <t>Jun-Aug</t>
  </si>
  <si>
    <t>Job Arch_Position_Creation/Updation_High (0-20)</t>
  </si>
  <si>
    <t>12 Hrs</t>
  </si>
  <si>
    <t>NA</t>
  </si>
  <si>
    <t>Mar-Jun</t>
  </si>
  <si>
    <t>JAE and PM_JDLink_Low(1-330+)</t>
  </si>
  <si>
    <t>May-Jul</t>
  </si>
  <si>
    <t>KT</t>
  </si>
  <si>
    <t>WFA_DTCHNG_OVRJB_MEDIUM</t>
  </si>
  <si>
    <t>WFA_DTCHNG_USPOJB_MEDIUM</t>
  </si>
  <si>
    <t>WFA_DTCHNG_DTCHNG_MEDIUM</t>
  </si>
  <si>
    <t>WFA_ExtHireB_High (80 or Less)</t>
  </si>
  <si>
    <t>WFA_SmrtAddprsn_High</t>
  </si>
  <si>
    <t>On Demand</t>
  </si>
  <si>
    <t>12 Hrs - If volume is less than 30
84 Hrs - if Volum is greater than 30</t>
  </si>
  <si>
    <t>Low</t>
  </si>
  <si>
    <t>WFA_Addperson_High (85 or Less)</t>
  </si>
  <si>
    <t>WFA_AddaPersnPOI/CWR_High (80 or Less)</t>
  </si>
  <si>
    <t>WFA_Prsnl_Low (1 to 240)</t>
  </si>
  <si>
    <t>36 Hrs - If volume is less than 30
84 Hrs - if Volum is greater than 30</t>
  </si>
  <si>
    <t>WFA_JobUpd(Comp)_High ( 70 or Less)</t>
  </si>
  <si>
    <t>Symphony, PeopleSoft
Read from document/Excel</t>
  </si>
  <si>
    <t>TM_CrtPAD_High (1 to 30)</t>
  </si>
  <si>
    <t>check with Anuja</t>
  </si>
  <si>
    <t>WFA_BankDataUpdate_1-30_High</t>
  </si>
  <si>
    <t>Weekly</t>
  </si>
  <si>
    <t>Every Month 10th to 25th</t>
  </si>
  <si>
    <t>Onboarding tool, PeopleSoft
Read from document/Excel</t>
  </si>
  <si>
    <t>ESS_Edu_Low</t>
  </si>
  <si>
    <t>36 Hrs</t>
  </si>
  <si>
    <t>ESS_AddChg_Low
ESS_Ppst_Low
ESS_Visa_Low
ESS_NationID_High</t>
  </si>
  <si>
    <t>LM_Crt_Sess_Medium (1 to 50)</t>
  </si>
  <si>
    <t>Symphony, CSOD
Read from Excel</t>
  </si>
  <si>
    <t>WFA_Leave Balance upload_Medium</t>
  </si>
  <si>
    <t>Monthly</t>
  </si>
  <si>
    <t>Every End Activity - Dec to Jan</t>
  </si>
  <si>
    <t>TS_BGV_Medium (1-30)</t>
  </si>
  <si>
    <t>On boarding, One drive, Outlook and DMS</t>
  </si>
  <si>
    <t>Excel, Payroll system</t>
  </si>
  <si>
    <t>non OCR</t>
  </si>
  <si>
    <t>People Soft, PDF, Excel</t>
  </si>
  <si>
    <t>year</t>
  </si>
  <si>
    <t>Based on requirement</t>
  </si>
  <si>
    <t>PeopleSoft
Read from Excel,PDF</t>
  </si>
  <si>
    <t>PeopleSoft
Read from Excel</t>
  </si>
  <si>
    <t>Read from Excel</t>
  </si>
  <si>
    <t>Read from Excel,Outlook</t>
  </si>
  <si>
    <t>Was built on Priority</t>
  </si>
  <si>
    <t>Oct-Dec</t>
  </si>
  <si>
    <t>TS_Onbrd_High</t>
  </si>
  <si>
    <t>Symphony, ALT Recruit</t>
  </si>
  <si>
    <t>Count of UseCase Name</t>
  </si>
  <si>
    <t>Column Labels</t>
  </si>
  <si>
    <t>RPA UseCases</t>
  </si>
  <si>
    <t>Grand Total</t>
  </si>
  <si>
    <t>Row Labels</t>
  </si>
  <si>
    <t>Sum of Average Transactions (Annual)</t>
  </si>
  <si>
    <t>Parameter</t>
  </si>
  <si>
    <t>Definitions</t>
  </si>
  <si>
    <t>Tasks does not have any manual non digital inputs like</t>
  </si>
  <si>
    <t>- Tasks have a maximum of simple binary decision-making steps like Yes/No etc.</t>
  </si>
  <si>
    <t>- Tasks have handoffs between activities and the linkages have to be accurately managed.</t>
  </si>
  <si>
    <t> - Scanned images</t>
  </si>
  <si>
    <t>- Data Transformation</t>
  </si>
  <si>
    <t>- Nested Tasks / Activities</t>
  </si>
  <si>
    <t>- Unstructured data</t>
  </si>
  <si>
    <t>- Application based Authentication Handing</t>
  </si>
  <si>
    <t>- Multiple application interfaces</t>
  </si>
  <si>
    <t>- Handwritten documents etc.</t>
  </si>
  <si>
    <t>Number of applications used in the task?</t>
  </si>
  <si>
    <t>3 Max</t>
  </si>
  <si>
    <t>4 Max</t>
  </si>
  <si>
    <t>5 Max</t>
  </si>
  <si>
    <t>(MS Excel, Outlook, SAP or a web browser, DB, Custom Application etc)</t>
  </si>
  <si>
    <t>- In case of SAP / Web application, each tcode / screen or web page will be treated as a separate application</t>
  </si>
  <si>
    <t>How many fields does the task have overall? (Sum the number of fields on all screens involved)</t>
  </si>
  <si>
    <t>01-35</t>
  </si>
  <si>
    <t>35-75</t>
  </si>
  <si>
    <t xml:space="preserve">75-125 </t>
  </si>
  <si>
    <t>What kind of decisions are taken to complete the task</t>
  </si>
  <si>
    <t>The tasks is linear - there are no decisions to be taken</t>
  </si>
  <si>
    <t>The tasks involves simple decisions (yes/no type)</t>
  </si>
  <si>
    <t>The tasks involves complex &amp; multiple decisions</t>
  </si>
  <si>
    <t>Number of rules/conditions</t>
  </si>
  <si>
    <t>Multi Factor Authentication / Captcha / QR Code</t>
  </si>
  <si>
    <t>No</t>
  </si>
  <si>
    <t>Any task which cannot accomplish without Human supervision / checks (Example: Approvals, Digital Signature or any Complex decision)</t>
  </si>
  <si>
    <t>Are any of the applications accessed via Citrix/VDI?</t>
  </si>
  <si>
    <t>Is your input data only digital?</t>
  </si>
  <si>
    <t>Input Channels Considered (Outlook, Files, ERP, Web downloads)</t>
  </si>
  <si>
    <t>Any task that require pattern recognition / Sentiment &amp; Emotion Analysis (Example: Any decision making activity based on email received or any feedback survey)</t>
  </si>
  <si>
    <t>Is your input data is structured/Unstructured?</t>
  </si>
  <si>
    <t>Structured Excel, Word, Text Files</t>
  </si>
  <si>
    <t>Form Based PDF, Fillable Word Forms</t>
  </si>
  <si>
    <t>Unstructured Documents, Scanned Images, Handwritten Documents</t>
  </si>
  <si>
    <t>Number of Files/file Types processed (Excel, Google Sheets, Word, .csv, .txt)</t>
  </si>
  <si>
    <t>Exception handling - Application and Logic</t>
  </si>
  <si>
    <t>6 Max</t>
  </si>
  <si>
    <t>10 Max</t>
  </si>
  <si>
    <t>15 Max</t>
  </si>
  <si>
    <t>Use Case Meta Data</t>
  </si>
  <si>
    <t>Existing Manual Daily Cost</t>
  </si>
  <si>
    <t>Savings</t>
  </si>
  <si>
    <t>BOT Daily Cost</t>
  </si>
  <si>
    <t>ROI</t>
  </si>
  <si>
    <t>#Priority</t>
  </si>
  <si>
    <t>UseCase</t>
  </si>
  <si>
    <t>Already in Production</t>
  </si>
  <si>
    <t>AverageTransactions(Annual)</t>
  </si>
  <si>
    <t>OCR/NON-OCR</t>
  </si>
  <si>
    <t>Manual MHT / AHT in Min /Transaction</t>
  </si>
  <si>
    <t>Manual FTE Required/Day</t>
  </si>
  <si>
    <t>FTE Cost (Per Day)</t>
  </si>
  <si>
    <t>Seat Cost (Per Day)</t>
  </si>
  <si>
    <t>Employee Cost (Others - Paid by )* Per Day</t>
  </si>
  <si>
    <t>Other OPEX Cost*Per Day</t>
  </si>
  <si>
    <t>Total Cost (Per Day)</t>
  </si>
  <si>
    <t>FTE Saved/Day</t>
  </si>
  <si>
    <t>BOT MHT / AHT (Min)</t>
  </si>
  <si>
    <t>BOT FTE Required / Day</t>
  </si>
  <si>
    <t>FTE Cost After BOT Implementation(Per Day)</t>
  </si>
  <si>
    <t>Infra Cost (Per Day)</t>
  </si>
  <si>
    <t>License Cost (Per Day)</t>
  </si>
  <si>
    <t>Development &amp; Support</t>
  </si>
  <si>
    <r>
      <rPr>
        <b/>
        <sz val="9"/>
        <color theme="0"/>
        <rFont val="Calibri"/>
        <charset val="134"/>
        <scheme val="minor"/>
      </rPr>
      <t xml:space="preserve">Total Cost </t>
    </r>
    <r>
      <rPr>
        <b/>
        <sz val="7"/>
        <color theme="0"/>
        <rFont val="Calibri"/>
        <charset val="134"/>
        <scheme val="minor"/>
      </rPr>
      <t>(Excluding Development &amp; Creater Cost)</t>
    </r>
  </si>
  <si>
    <t>ROI (Per Day)</t>
  </si>
  <si>
    <t>ROI In Percent</t>
  </si>
  <si>
    <t>Runner</t>
  </si>
  <si>
    <t>Creater</t>
  </si>
  <si>
    <t>Development</t>
  </si>
  <si>
    <t>Support</t>
  </si>
  <si>
    <t>Overall  Program  ROI</t>
  </si>
  <si>
    <t>Total License</t>
  </si>
  <si>
    <t>Bots
Planned</t>
  </si>
  <si>
    <t>Annual Transactions</t>
  </si>
  <si>
    <t>Including 20% Buffer Transactions</t>
  </si>
  <si>
    <t>Monthly Transactions</t>
  </si>
  <si>
    <t>Daily Transactions</t>
  </si>
  <si>
    <t>Daily Total time (Mins)</t>
  </si>
  <si>
    <t>Runner License</t>
  </si>
  <si>
    <t>Creator</t>
  </si>
  <si>
    <t>Mins in 24 hours</t>
  </si>
  <si>
    <t xml:space="preserve"> Runner Licenses  </t>
  </si>
  <si>
    <t>Allocated License</t>
  </si>
  <si>
    <t>Evaluate every 3month based on Bots in production</t>
  </si>
  <si>
    <t>Existing Prod. Bots</t>
  </si>
  <si>
    <t>Ticket Creation</t>
  </si>
  <si>
    <t>Available</t>
  </si>
  <si>
    <t>Mins in 12 hours</t>
  </si>
  <si>
    <t>Developer 1</t>
  </si>
  <si>
    <t xml:space="preserve">Runner Licenses  </t>
  </si>
  <si>
    <t>Developer 2</t>
  </si>
  <si>
    <t>Developer 3</t>
  </si>
  <si>
    <t>Developer 4</t>
  </si>
  <si>
    <t>&gt;1500</t>
  </si>
  <si>
    <t>AHT (Manual) Mins</t>
  </si>
  <si>
    <t>FTE Manual</t>
  </si>
  <si>
    <t>FTE Saved</t>
  </si>
  <si>
    <t>FTE Manual Cost (INR)</t>
  </si>
  <si>
    <t>FTE Saved Cost (INR)</t>
  </si>
  <si>
    <t>Rutuja , RPADEV01</t>
  </si>
  <si>
    <t>Annual</t>
  </si>
  <si>
    <t>Peoplesoft feasiblity to download the selected profiles in bulk. Unattended BOT feasiblity</t>
  </si>
  <si>
    <t>Child BOT of Ticket Creater</t>
  </si>
  <si>
    <t>Once in 15 days</t>
  </si>
  <si>
    <t>Centralized framework 
1) Using powerapps,Onedrive
2) Bot Insights
3) using Oracle database &amp; OCI Reports</t>
  </si>
  <si>
    <t>Peoplesoft feasiblity to check bulk creation. Unattended BOT feasiblity</t>
  </si>
  <si>
    <t>OBIEE Sync Failuer BOT</t>
  </si>
  <si>
    <t>Comment</t>
  </si>
  <si>
    <t>Priority</t>
  </si>
  <si>
    <t>Document Referred</t>
  </si>
  <si>
    <t>SOP Available</t>
  </si>
  <si>
    <t>Manual Involvement</t>
  </si>
  <si>
    <t>Need Standardisation</t>
  </si>
  <si>
    <t>Volume</t>
  </si>
  <si>
    <t>Work with multiple data files</t>
  </si>
  <si>
    <t>VOC</t>
  </si>
  <si>
    <t>Scoring Index</t>
  </si>
  <si>
    <t>Owner</t>
  </si>
  <si>
    <t>ESS SOP_National ID_SR to IM(2)</t>
  </si>
  <si>
    <t>Kunal</t>
  </si>
  <si>
    <t>Parallel Execution</t>
  </si>
  <si>
    <t>AWOO(A world of opprtunity) - OCR</t>
  </si>
  <si>
    <t>Yearly</t>
  </si>
  <si>
    <t>Asawari</t>
  </si>
  <si>
    <t>ESS SOP_Educational Data_SR to IM</t>
  </si>
  <si>
    <t>SOP not shared but currently working on the project hence aware of the complexity. Sunil will share the SOP soon (as per Swara)</t>
  </si>
  <si>
    <t>Pratibha - OCR</t>
  </si>
  <si>
    <t>Not Required</t>
  </si>
  <si>
    <t>ABCAP SOP - Initiating Prospective Hire Link(2)</t>
  </si>
  <si>
    <t>Exit Module SOP_V.5</t>
  </si>
  <si>
    <t>Part of EJF</t>
  </si>
  <si>
    <t>xxxx</t>
  </si>
  <si>
    <t>Alt Onboarding L5 V.2</t>
  </si>
  <si>
    <t>Job Data Update (Excel Input / Bulk Data Update)</t>
  </si>
  <si>
    <t>Abhishek</t>
  </si>
  <si>
    <t>Need at later stage</t>
  </si>
  <si>
    <t>JD Update SOP</t>
  </si>
  <si>
    <t>Duplicate</t>
  </si>
  <si>
    <t>Poonam</t>
  </si>
  <si>
    <t>Mobility SOP</t>
  </si>
  <si>
    <t>Check script option</t>
  </si>
  <si>
    <t>Exception Management</t>
  </si>
  <si>
    <t>SOP_Creation of Performance Document</t>
  </si>
  <si>
    <t>Holiday Calender Upload SOP</t>
  </si>
  <si>
    <t>Already backend script available</t>
  </si>
  <si>
    <t>SOP_Cancellation of Performance Document</t>
  </si>
  <si>
    <t>Leave Balance Upload SOP_V3</t>
  </si>
  <si>
    <t>WFA Global SOP</t>
  </si>
  <si>
    <t>Learning</t>
  </si>
  <si>
    <t>TBD</t>
  </si>
  <si>
    <t>SOP_CSOD_Creation &amp; Assign Curriculum
SOP_CSOD_Upload and Assign Online course_V1
SOP_CSOD_Upload and Assign Video_V1</t>
  </si>
  <si>
    <t>Creating Event, Session &amp; Adding Trainer - Group Creation SOP</t>
  </si>
  <si>
    <t>Already there - Not required</t>
  </si>
  <si>
    <t>SOP_Potential Management_Creation of Potential Assessment Document</t>
  </si>
  <si>
    <r>
      <rPr>
        <sz val="10"/>
        <color theme="1"/>
        <rFont val="Calibri"/>
        <charset val="134"/>
        <scheme val="minor"/>
      </rPr>
      <t xml:space="preserve">Position Creation/ Updation/ Deactivation and </t>
    </r>
    <r>
      <rPr>
        <strike/>
        <sz val="10"/>
        <color theme="1"/>
        <rFont val="Calibri"/>
        <charset val="134"/>
        <scheme val="minor"/>
      </rPr>
      <t>JD Linkage</t>
    </r>
    <r>
      <rPr>
        <sz val="10"/>
        <color theme="1"/>
        <rFont val="Calibri"/>
        <charset val="134"/>
        <scheme val="minor"/>
      </rPr>
      <t xml:space="preserve"> (Job Arch)</t>
    </r>
  </si>
  <si>
    <t xml:space="preserve">Already in Production </t>
  </si>
  <si>
    <t>To be confirmed</t>
  </si>
  <si>
    <t>Assess Selenium Current build</t>
  </si>
  <si>
    <t>TBD- Peoplesoft Letter generation Built</t>
  </si>
  <si>
    <t>Already BOT present</t>
  </si>
  <si>
    <t>AWOO(A world of opprtunity)</t>
  </si>
  <si>
    <t>Service Quality</t>
  </si>
  <si>
    <t>Use Case Name</t>
  </si>
  <si>
    <t xml:space="preserve">Poornata ID creation (Through External Hire) </t>
  </si>
  <si>
    <t>FTE Cost</t>
  </si>
  <si>
    <t>Quality Cost</t>
  </si>
  <si>
    <t>Subscription Cost</t>
  </si>
  <si>
    <t>Infra Cost</t>
  </si>
  <si>
    <t>Other CAPEX</t>
  </si>
  <si>
    <t>Other OPEX</t>
  </si>
  <si>
    <t>Existing Manual Monthly Cost</t>
  </si>
  <si>
    <t>BOT AHT (Min)</t>
  </si>
  <si>
    <t>BOT FTE</t>
  </si>
  <si>
    <t>BOT Monthly Cost</t>
  </si>
  <si>
    <t>Manual AHT in Min /Transaction</t>
  </si>
  <si>
    <t>Employee Cost (Others - Paid by ABG)* Per Day</t>
  </si>
  <si>
    <t>Total Cost</t>
  </si>
  <si>
    <t>ROI in Rupees (Per Day)</t>
  </si>
  <si>
    <t>Document Automation</t>
  </si>
  <si>
    <t>FTE Saved/Month</t>
  </si>
  <si>
    <t>BOT AHT</t>
  </si>
  <si>
    <t>Manual FTE Required/Month</t>
  </si>
  <si>
    <t xml:space="preserve">Seat Cost </t>
  </si>
  <si>
    <t>Employee Cost (Others - Paid by ABG)*</t>
  </si>
  <si>
    <t>Other OPEX Cost*</t>
  </si>
  <si>
    <t>BOT FTE Required / Month</t>
  </si>
  <si>
    <t>License Cost</t>
  </si>
  <si>
    <t>ROI in Rupees</t>
  </si>
  <si>
    <t>Value</t>
  </si>
  <si>
    <t>Days Per Year</t>
  </si>
  <si>
    <t>Days Per Month</t>
  </si>
  <si>
    <t>Working Hours Per day</t>
  </si>
  <si>
    <t>Mins Per Hour</t>
  </si>
  <si>
    <t>FTE Saved Simple</t>
  </si>
  <si>
    <t>FTE Saved Medium</t>
  </si>
  <si>
    <t>FTE Saved Complex</t>
  </si>
  <si>
    <t>Runner License Verification</t>
  </si>
  <si>
    <t>Annual Transaction</t>
  </si>
  <si>
    <t>AHT Per transaction</t>
  </si>
  <si>
    <t>Total Annual  Mins</t>
  </si>
  <si>
    <t>Total Annual HR</t>
  </si>
  <si>
    <t>Total Monthly HR</t>
  </si>
  <si>
    <t>FTE Required</t>
  </si>
  <si>
    <t>Transactions per year</t>
  </si>
  <si>
    <t>Days per year</t>
  </si>
  <si>
    <t>Transaction Per Month</t>
  </si>
  <si>
    <t>AHT per transaction (mins)</t>
  </si>
  <si>
    <t>Runner license cost per month (INR)</t>
  </si>
  <si>
    <t>Runner license cost per day (INR)</t>
  </si>
  <si>
    <t>Minutes per day</t>
  </si>
  <si>
    <t>Runner license cost per minute (INR)</t>
  </si>
  <si>
    <t>Time required for BOT</t>
  </si>
  <si>
    <t>Total cost</t>
  </si>
  <si>
    <t>Total Hours Annual</t>
  </si>
  <si>
    <t>Total Hours /Month</t>
  </si>
  <si>
    <t>Assumptions</t>
  </si>
  <si>
    <t>Working Days in a Year</t>
  </si>
  <si>
    <t>Working Days per Month</t>
  </si>
  <si>
    <t>Working Hours per Day</t>
  </si>
  <si>
    <t>BOT Accuracy - Complex</t>
  </si>
  <si>
    <t>BOT Accuracy - Medium</t>
  </si>
  <si>
    <t>BOT Accuracy - Simple</t>
  </si>
  <si>
    <t>Monthly VM Cost</t>
  </si>
  <si>
    <t>Monthly FTE Cost</t>
  </si>
  <si>
    <t xml:space="preserve">Monthly Paid Days for FTE </t>
  </si>
  <si>
    <t>Monthly Seat Cost</t>
  </si>
  <si>
    <t>Monthly FTEOther Cost</t>
  </si>
  <si>
    <t>Monthly Other OPEX</t>
  </si>
  <si>
    <t xml:space="preserve">Number of VM's </t>
  </si>
  <si>
    <t>Number of Processes</t>
  </si>
  <si>
    <t>BOT Days in a Year</t>
  </si>
  <si>
    <t>BOT Number of Days Per Month</t>
  </si>
  <si>
    <t>BOT Number of Hours in a Day</t>
  </si>
  <si>
    <t>Monthly Runner License Cost</t>
  </si>
  <si>
    <t>Document Automation Cost</t>
  </si>
  <si>
    <t>Monthly Creater License Cost</t>
  </si>
  <si>
    <t>Creater License Average Out Time</t>
  </si>
  <si>
    <t>Number Of Documents per OCR License</t>
  </si>
  <si>
    <t>Developer Cost Per Resource</t>
  </si>
  <si>
    <t>Support Cost Per resource</t>
  </si>
  <si>
    <t>Type</t>
  </si>
  <si>
    <t>Concat</t>
  </si>
  <si>
    <t>Requirement Gathering &amp; PDD</t>
  </si>
  <si>
    <t>SDD</t>
  </si>
  <si>
    <t>QA</t>
  </si>
  <si>
    <t>UAT</t>
  </si>
  <si>
    <t>Production Deployment</t>
  </si>
  <si>
    <t>Hypercare</t>
  </si>
  <si>
    <t>Total Man Days</t>
  </si>
  <si>
    <t>Total Efforts(Weeks)</t>
  </si>
  <si>
    <t>* Above estimatesion is based on 
2 Developers
1 BA
1 QA
1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</si>
</sst>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\ * #,##0.00_ ;_ [$₹-4009]\ * \-#,##0.00_ ;_ [$₹-4009]\ * &quot;-&quot;??_ ;_ @_ "/>
    <numFmt numFmtId="181" formatCode="_ * #,##0_ ;_ * \-#,##0_ ;_ * &quot;-&quot;??_ ;_ @_ "/>
    <numFmt numFmtId="182" formatCode="_ [$₹-4009]\ * #,##0_ ;_ [$₹-4009]\ * \-#,##0_ ;_ [$₹-4009]\ * &quot;-&quot;??_ ;_ @_ "/>
    <numFmt numFmtId="183" formatCode="mmm/yy"/>
    <numFmt numFmtId="184" formatCode="dd/mmm/yy"/>
    <numFmt numFmtId="185" formatCode="_ [$$-4009]\ * #,##0.00_ ;_ [$$-4009]\ * \-#,##0.00_ ;_ [$$-4009]\ * &quot;-&quot;??_ ;_ @_ "/>
  </numFmts>
  <fonts count="44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color rgb="FF000000"/>
      <name val="Aptos Narrow"/>
      <charset val="134"/>
    </font>
    <font>
      <b/>
      <sz val="9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4"/>
      <name val="Calibri"/>
      <charset val="134"/>
      <scheme val="minor"/>
    </font>
    <font>
      <sz val="7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8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8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9"/>
      <color theme="0"/>
      <name val="Aptos Narrow"/>
      <charset val="134"/>
    </font>
    <font>
      <b/>
      <sz val="12"/>
      <color theme="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7"/>
      <color theme="0"/>
      <name val="Calibri"/>
      <charset val="134"/>
      <scheme val="minor"/>
    </font>
    <font>
      <strike/>
      <sz val="10"/>
      <color theme="1"/>
      <name val="Calibri"/>
      <charset val="134"/>
      <scheme val="minor"/>
    </font>
    <font>
      <sz val="9"/>
      <name val="Tahoma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2" borderId="2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3" borderId="31" applyNumberFormat="0" applyAlignment="0" applyProtection="0">
      <alignment vertical="center"/>
    </xf>
    <xf numFmtId="0" fontId="31" fillId="34" borderId="32" applyNumberFormat="0" applyAlignment="0" applyProtection="0">
      <alignment vertical="center"/>
    </xf>
    <xf numFmtId="0" fontId="32" fillId="34" borderId="31" applyNumberFormat="0" applyAlignment="0" applyProtection="0">
      <alignment vertical="center"/>
    </xf>
    <xf numFmtId="0" fontId="33" fillId="35" borderId="33" applyNumberFormat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</cellStyleXfs>
  <cellXfs count="26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180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2" fontId="7" fillId="8" borderId="2" xfId="0" applyNumberFormat="1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2" fontId="7" fillId="8" borderId="7" xfId="0" applyNumberFormat="1" applyFont="1" applyFill="1" applyBorder="1" applyAlignment="1">
      <alignment horizontal="center" vertical="center" wrapText="1"/>
    </xf>
    <xf numFmtId="2" fontId="7" fillId="8" borderId="3" xfId="0" applyNumberFormat="1" applyFont="1" applyFill="1" applyBorder="1" applyAlignment="1">
      <alignment horizontal="center" vertical="center" wrapText="1"/>
    </xf>
    <xf numFmtId="2" fontId="1" fillId="9" borderId="1" xfId="0" applyNumberFormat="1" applyFont="1" applyFill="1" applyBorder="1" applyAlignment="1">
      <alignment horizontal="center" vertical="center"/>
    </xf>
    <xf numFmtId="180" fontId="1" fillId="9" borderId="1" xfId="0" applyNumberFormat="1" applyFont="1" applyFill="1" applyBorder="1" applyAlignment="1">
      <alignment horizontal="center" vertical="center"/>
    </xf>
    <xf numFmtId="180" fontId="6" fillId="7" borderId="1" xfId="0" applyNumberFormat="1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180" fontId="6" fillId="10" borderId="1" xfId="0" applyNumberFormat="1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2" fontId="1" fillId="11" borderId="1" xfId="0" applyNumberFormat="1" applyFont="1" applyFill="1" applyBorder="1" applyAlignment="1">
      <alignment horizontal="center" vertical="center"/>
    </xf>
    <xf numFmtId="180" fontId="1" fillId="11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180" fontId="8" fillId="10" borderId="1" xfId="0" applyNumberFormat="1" applyFont="1" applyFill="1" applyBorder="1" applyAlignment="1">
      <alignment horizontal="center" vertical="center"/>
    </xf>
    <xf numFmtId="9" fontId="8" fillId="10" borderId="1" xfId="3" applyFont="1" applyFill="1" applyBorder="1" applyAlignment="1">
      <alignment horizontal="center" vertical="center"/>
    </xf>
    <xf numFmtId="180" fontId="8" fillId="4" borderId="1" xfId="0" applyNumberFormat="1" applyFont="1" applyFill="1" applyBorder="1" applyAlignment="1">
      <alignment horizontal="center" vertical="center"/>
    </xf>
    <xf numFmtId="9" fontId="8" fillId="4" borderId="1" xfId="3" applyFont="1" applyFill="1" applyBorder="1" applyAlignment="1">
      <alignment horizontal="center" vertical="center"/>
    </xf>
    <xf numFmtId="180" fontId="1" fillId="1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left" vertical="top"/>
    </xf>
    <xf numFmtId="181" fontId="4" fillId="0" borderId="8" xfId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81" fontId="4" fillId="0" borderId="8" xfId="1" applyNumberFormat="1" applyFont="1" applyFill="1" applyBorder="1" applyAlignment="1">
      <alignment horizontal="center" vertical="center"/>
    </xf>
    <xf numFmtId="181" fontId="4" fillId="0" borderId="8" xfId="1" applyNumberFormat="1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9" fontId="4" fillId="14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9" fontId="4" fillId="14" borderId="0" xfId="3" applyFont="1" applyFill="1" applyAlignment="1">
      <alignment horizontal="center" vertical="center"/>
    </xf>
    <xf numFmtId="0" fontId="4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4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vertical="center" wrapText="1"/>
    </xf>
    <xf numFmtId="0" fontId="4" fillId="0" borderId="0" xfId="0" applyFont="1" applyAlignment="1">
      <alignment horizontal="left" vertical="top"/>
    </xf>
    <xf numFmtId="181" fontId="12" fillId="0" borderId="1" xfId="1" applyNumberFormat="1" applyFont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1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182" fontId="12" fillId="0" borderId="1" xfId="1" applyNumberFormat="1" applyFont="1" applyBorder="1" applyAlignment="1">
      <alignment horizontal="center" vertical="center"/>
    </xf>
    <xf numFmtId="9" fontId="4" fillId="0" borderId="0" xfId="3" applyFont="1" applyAlignment="1">
      <alignment horizontal="center" vertical="center"/>
    </xf>
    <xf numFmtId="182" fontId="14" fillId="0" borderId="1" xfId="1" applyNumberFormat="1" applyFont="1" applyBorder="1" applyAlignment="1">
      <alignment horizontal="center" vertical="center"/>
    </xf>
    <xf numFmtId="1" fontId="14" fillId="0" borderId="1" xfId="3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0" borderId="1" xfId="3" applyNumberFormat="1" applyFont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83" fontId="14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4" fillId="0" borderId="0" xfId="0" applyFont="1"/>
    <xf numFmtId="0" fontId="17" fillId="2" borderId="4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 vertical="center"/>
    </xf>
    <xf numFmtId="0" fontId="3" fillId="16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84" fontId="4" fillId="0" borderId="0" xfId="0" applyNumberFormat="1" applyFont="1"/>
    <xf numFmtId="0" fontId="4" fillId="0" borderId="0" xfId="0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/>
    <xf numFmtId="0" fontId="5" fillId="0" borderId="0" xfId="0" applyFont="1" applyAlignment="1">
      <alignment horizontal="center" vertical="center"/>
    </xf>
    <xf numFmtId="0" fontId="8" fillId="17" borderId="12" xfId="0" applyFont="1" applyFill="1" applyBorder="1" applyAlignment="1">
      <alignment horizontal="left" vertical="center"/>
    </xf>
    <xf numFmtId="0" fontId="8" fillId="17" borderId="13" xfId="0" applyFont="1" applyFill="1" applyBorder="1" applyAlignment="1">
      <alignment horizontal="left" vertical="center"/>
    </xf>
    <xf numFmtId="0" fontId="8" fillId="17" borderId="14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" fillId="18" borderId="19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left" vertical="center"/>
    </xf>
    <xf numFmtId="0" fontId="2" fillId="6" borderId="21" xfId="0" applyFont="1" applyFill="1" applyBorder="1" applyAlignment="1">
      <alignment horizontal="left" vertical="center"/>
    </xf>
    <xf numFmtId="0" fontId="2" fillId="6" borderId="22" xfId="0" applyFont="1" applyFill="1" applyBorder="1" applyAlignment="1">
      <alignment horizontal="left" vertical="center"/>
    </xf>
    <xf numFmtId="0" fontId="8" fillId="17" borderId="5" xfId="0" applyFont="1" applyFill="1" applyBorder="1" applyAlignment="1">
      <alignment horizontal="center" vertical="center"/>
    </xf>
    <xf numFmtId="0" fontId="8" fillId="17" borderId="6" xfId="0" applyFont="1" applyFill="1" applyBorder="1" applyAlignment="1">
      <alignment horizontal="center" vertical="center"/>
    </xf>
    <xf numFmtId="2" fontId="18" fillId="17" borderId="1" xfId="0" applyNumberFormat="1" applyFont="1" applyFill="1" applyBorder="1" applyAlignment="1">
      <alignment horizontal="center" vertical="center" wrapText="1"/>
    </xf>
    <xf numFmtId="2" fontId="8" fillId="2" borderId="6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2" fontId="18" fillId="2" borderId="7" xfId="0" applyNumberFormat="1" applyFont="1" applyFill="1" applyBorder="1" applyAlignment="1">
      <alignment horizontal="center" vertical="center" wrapText="1"/>
    </xf>
    <xf numFmtId="2" fontId="18" fillId="2" borderId="3" xfId="0" applyNumberFormat="1" applyFont="1" applyFill="1" applyBorder="1" applyAlignment="1">
      <alignment horizontal="center" vertical="center" wrapText="1"/>
    </xf>
    <xf numFmtId="2" fontId="1" fillId="20" borderId="23" xfId="0" applyNumberFormat="1" applyFont="1" applyFill="1" applyBorder="1" applyAlignment="1">
      <alignment horizontal="center" vertical="center"/>
    </xf>
    <xf numFmtId="185" fontId="1" fillId="20" borderId="2" xfId="0" applyNumberFormat="1" applyFont="1" applyFill="1" applyBorder="1" applyAlignment="1">
      <alignment horizontal="center" vertical="center"/>
    </xf>
    <xf numFmtId="185" fontId="6" fillId="21" borderId="2" xfId="0" applyNumberFormat="1" applyFont="1" applyFill="1" applyBorder="1" applyAlignment="1">
      <alignment horizontal="center" vertical="center"/>
    </xf>
    <xf numFmtId="2" fontId="1" fillId="22" borderId="1" xfId="0" applyNumberFormat="1" applyFont="1" applyFill="1" applyBorder="1" applyAlignment="1">
      <alignment horizontal="center" vertical="center"/>
    </xf>
    <xf numFmtId="2" fontId="19" fillId="23" borderId="24" xfId="0" applyNumberFormat="1" applyFont="1" applyFill="1" applyBorder="1" applyAlignment="1">
      <alignment horizontal="center" vertical="center"/>
    </xf>
    <xf numFmtId="2" fontId="19" fillId="23" borderId="25" xfId="0" applyNumberFormat="1" applyFont="1" applyFill="1" applyBorder="1" applyAlignment="1">
      <alignment horizontal="center" vertical="center"/>
    </xf>
    <xf numFmtId="185" fontId="19" fillId="23" borderId="25" xfId="0" applyNumberFormat="1" applyFont="1" applyFill="1" applyBorder="1" applyAlignment="1">
      <alignment horizontal="center" vertical="center"/>
    </xf>
    <xf numFmtId="2" fontId="19" fillId="10" borderId="25" xfId="0" applyNumberFormat="1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2" fontId="18" fillId="2" borderId="1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2" fontId="1" fillId="24" borderId="2" xfId="0" applyNumberFormat="1" applyFont="1" applyFill="1" applyBorder="1" applyAlignment="1">
      <alignment horizontal="center" vertical="center"/>
    </xf>
    <xf numFmtId="185" fontId="1" fillId="24" borderId="2" xfId="0" applyNumberFormat="1" applyFont="1" applyFill="1" applyBorder="1" applyAlignment="1">
      <alignment horizontal="center" vertical="center"/>
    </xf>
    <xf numFmtId="185" fontId="1" fillId="25" borderId="2" xfId="0" applyNumberFormat="1" applyFont="1" applyFill="1" applyBorder="1" applyAlignment="1">
      <alignment horizontal="center" vertical="center"/>
    </xf>
    <xf numFmtId="185" fontId="1" fillId="16" borderId="2" xfId="0" applyNumberFormat="1" applyFont="1" applyFill="1" applyBorder="1" applyAlignment="1">
      <alignment horizontal="center" vertical="center"/>
    </xf>
    <xf numFmtId="185" fontId="1" fillId="26" borderId="2" xfId="0" applyNumberFormat="1" applyFont="1" applyFill="1" applyBorder="1" applyAlignment="1">
      <alignment horizontal="center" vertical="center"/>
    </xf>
    <xf numFmtId="185" fontId="19" fillId="10" borderId="25" xfId="0" applyNumberFormat="1" applyFont="1" applyFill="1" applyBorder="1" applyAlignment="1">
      <alignment horizontal="center" vertical="center"/>
    </xf>
    <xf numFmtId="0" fontId="19" fillId="10" borderId="25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185" fontId="1" fillId="27" borderId="2" xfId="0" applyNumberFormat="1" applyFont="1" applyFill="1" applyBorder="1" applyAlignment="1">
      <alignment horizontal="center" vertical="center"/>
    </xf>
    <xf numFmtId="185" fontId="8" fillId="15" borderId="2" xfId="0" applyNumberFormat="1" applyFont="1" applyFill="1" applyBorder="1" applyAlignment="1">
      <alignment horizontal="center" vertical="center"/>
    </xf>
    <xf numFmtId="9" fontId="8" fillId="10" borderId="2" xfId="3" applyFont="1" applyFill="1" applyBorder="1" applyAlignment="1">
      <alignment horizontal="center" vertical="center"/>
    </xf>
    <xf numFmtId="185" fontId="19" fillId="10" borderId="25" xfId="0" applyNumberFormat="1" applyFont="1" applyFill="1" applyBorder="1" applyAlignment="1">
      <alignment vertical="center"/>
    </xf>
    <xf numFmtId="9" fontId="19" fillId="10" borderId="26" xfId="3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horizontal="left" vertical="center" wrapText="1"/>
    </xf>
    <xf numFmtId="0" fontId="20" fillId="20" borderId="1" xfId="0" applyFont="1" applyFill="1" applyBorder="1" applyAlignment="1">
      <alignment horizontal="center" vertical="center" wrapText="1"/>
    </xf>
    <xf numFmtId="0" fontId="20" fillId="28" borderId="1" xfId="0" applyFont="1" applyFill="1" applyBorder="1" applyAlignment="1">
      <alignment horizontal="center" vertical="center" wrapText="1"/>
    </xf>
    <xf numFmtId="0" fontId="20" fillId="27" borderId="1" xfId="0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vertical="center" wrapText="1"/>
    </xf>
    <xf numFmtId="49" fontId="20" fillId="1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9" fillId="29" borderId="1" xfId="0" applyFont="1" applyFill="1" applyBorder="1" applyAlignment="1">
      <alignment horizontal="left" vertical="center" wrapText="1"/>
    </xf>
    <xf numFmtId="0" fontId="9" fillId="29" borderId="1" xfId="0" applyFont="1" applyFill="1" applyBorder="1" applyAlignment="1">
      <alignment horizontal="center" vertical="center" wrapText="1"/>
    </xf>
    <xf numFmtId="1" fontId="9" fillId="29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" fontId="0" fillId="0" borderId="2" xfId="0" applyNumberForma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2" fontId="9" fillId="26" borderId="11" xfId="0" applyNumberFormat="1" applyFont="1" applyFill="1" applyBorder="1" applyAlignment="1">
      <alignment horizontal="center" vertical="center" wrapText="1"/>
    </xf>
    <xf numFmtId="2" fontId="9" fillId="26" borderId="27" xfId="0" applyNumberFormat="1" applyFont="1" applyFill="1" applyBorder="1" applyAlignment="1">
      <alignment horizontal="left" vertical="center" wrapText="1"/>
    </xf>
    <xf numFmtId="1" fontId="9" fillId="26" borderId="3" xfId="0" applyNumberFormat="1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left" vertical="center" wrapText="1"/>
    </xf>
    <xf numFmtId="9" fontId="0" fillId="4" borderId="1" xfId="0" applyNumberFormat="1" applyFill="1" applyBorder="1" applyAlignment="1">
      <alignment horizontal="left" vertical="center" wrapText="1"/>
    </xf>
    <xf numFmtId="9" fontId="0" fillId="0" borderId="1" xfId="3" applyFont="1" applyBorder="1" applyAlignment="1">
      <alignment horizontal="left" vertical="center" wrapText="1"/>
    </xf>
    <xf numFmtId="9" fontId="0" fillId="0" borderId="2" xfId="3" applyFont="1" applyBorder="1" applyAlignment="1">
      <alignment horizontal="left" vertical="center" wrapText="1"/>
    </xf>
    <xf numFmtId="1" fontId="9" fillId="26" borderId="3" xfId="0" applyNumberFormat="1" applyFont="1" applyFill="1" applyBorder="1" applyAlignment="1">
      <alignment horizontal="left" vertical="center" wrapText="1"/>
    </xf>
    <xf numFmtId="2" fontId="9" fillId="26" borderId="3" xfId="0" applyNumberFormat="1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1" fontId="0" fillId="0" borderId="1" xfId="3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1" fontId="0" fillId="19" borderId="1" xfId="3" applyNumberFormat="1" applyFont="1" applyFill="1" applyBorder="1" applyAlignment="1">
      <alignment horizontal="center" vertical="center" wrapText="1"/>
    </xf>
    <xf numFmtId="1" fontId="0" fillId="0" borderId="2" xfId="3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/>
    </xf>
    <xf numFmtId="0" fontId="3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4" fillId="0" borderId="1" xfId="3" applyNumberFormat="1" applyFont="1" applyBorder="1" applyAlignment="1">
      <alignment horizontal="center" vertical="center" wrapText="1"/>
    </xf>
    <xf numFmtId="1" fontId="4" fillId="0" borderId="1" xfId="3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183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sz val="9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3.xml"/><Relationship Id="rId25" Type="http://schemas.openxmlformats.org/officeDocument/2006/relationships/customXml" Target="../customXml/item2.xml"/><Relationship Id="rId24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2209800</xdr:colOff>
      <xdr:row>0</xdr:row>
      <xdr:rowOff>649171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09800" cy="6489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1225549</xdr:colOff>
      <xdr:row>0</xdr:row>
      <xdr:rowOff>649170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495299</xdr:colOff>
      <xdr:row>1</xdr:row>
      <xdr:rowOff>1470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0435" cy="656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0</xdr:row>
      <xdr:rowOff>649170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3610" cy="64897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3.9698024306" refreshedBy="Asawari_Dande" recordCount="46">
  <cacheSource type="worksheet">
    <worksheetSource ref="A3:N49" sheet="RPA RoadMap"/>
  </cacheSource>
  <cacheFields count="7">
    <cacheField name="Sr#" numFmtId="0"/>
    <cacheField name="UseCase Name" numFmtId="0"/>
    <cacheField name="Average Transactions (Annual)" numFmtId="0"/>
    <cacheField name="OCR / NON-OCR" numFmtId="0">
      <sharedItems count="2">
        <s v="NON-OCR"/>
        <s v="OCR"/>
      </sharedItems>
    </cacheField>
    <cacheField name="Already in production" numFmtId="0"/>
    <cacheField name="Automation Required" numFmtId="0">
      <sharedItems count="2">
        <s v="Y"/>
        <s v="N"/>
      </sharedItems>
    </cacheField>
    <cacheField name="RPA Complexity" numFmtId="0">
      <sharedItems containsBlank="1" count="4">
        <s v="Complex"/>
        <s v="Medium"/>
        <s v="Simple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4.4452858796" refreshedBy="Asawari_Dande" recordCount="47">
  <cacheSource type="worksheet">
    <worksheetSource ref="B3:E1048576" sheet="RPA RoadMap"/>
  </cacheSource>
  <cacheFields count="3">
    <cacheField name="UseCase Name" numFmtId="0"/>
    <cacheField name="Average Transactions (Annual)" numFmtId="0"/>
    <cacheField name="OCR / NON-OCR" numFmtId="0">
      <sharedItems containsBlank="1" count="3">
        <s v="NON-OCR"/>
        <s v="OCR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4.9769706018" refreshedBy="Asawari_Dande" recordCount="46">
  <cacheSource type="worksheet">
    <worksheetSource ref="B3:F49" sheet="RPA RoadMap"/>
  </cacheSource>
  <cacheFields count="4">
    <cacheField name="UseCase Name" numFmtId="0"/>
    <cacheField name="Average Transactions (Annual)" numFmtId="0"/>
    <cacheField name="OCR / NON-OCR" numFmtId="0">
      <sharedItems count="2">
        <s v="NON-OCR"/>
        <s v="OCR"/>
      </sharedItems>
    </cacheField>
    <cacheField name="Frequency" numFmtId="0">
      <sharedItems containsBlank="1" count="7">
        <s v="Daily"/>
        <s v="Weekly"/>
        <s v="Monthly"/>
        <s v="Annual"/>
        <s v="On Demand"/>
        <m/>
        <s v="Based on requiremen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4"/>
    <s v="Job Description Update"/>
    <n v="7168"/>
    <x v="0"/>
    <s v="N"/>
    <x v="0"/>
    <x v="0"/>
  </r>
  <r>
    <n v="17"/>
    <s v="Bank Data Update"/>
    <n v="3695"/>
    <x v="1"/>
    <s v="N"/>
    <x v="0"/>
    <x v="1"/>
  </r>
  <r>
    <n v="19"/>
    <s v="Education Data"/>
    <n v="2981"/>
    <x v="1"/>
    <s v="N"/>
    <x v="0"/>
    <x v="0"/>
  </r>
  <r>
    <n v="20"/>
    <s v="National ID, PAN, Aadhar, Passport, Visa, Address"/>
    <n v="9845"/>
    <x v="1"/>
    <s v="N"/>
    <x v="0"/>
    <x v="0"/>
  </r>
  <r>
    <n v="24"/>
    <s v="FnF Settlement"/>
    <n v="12829"/>
    <x v="0"/>
    <s v="N"/>
    <x v="0"/>
    <x v="0"/>
  </r>
  <r>
    <n v="7"/>
    <s v="Data Change – Data Change"/>
    <n v="6804"/>
    <x v="0"/>
    <s v="N"/>
    <x v="0"/>
    <x v="1"/>
  </r>
  <r>
    <n v="8"/>
    <s v="External Hire Poornata ID creation"/>
    <n v="5170"/>
    <x v="0"/>
    <s v="N"/>
    <x v="0"/>
    <x v="0"/>
  </r>
  <r>
    <n v="25"/>
    <s v="Maker-Checker - ACR Letter"/>
    <m/>
    <x v="0"/>
    <s v="N"/>
    <x v="0"/>
    <x v="0"/>
  </r>
  <r>
    <n v="16"/>
    <s v="Poornata ID Creation (Add a Person) (Proposed Process Change)"/>
    <n v="8925"/>
    <x v="1"/>
    <s v="N"/>
    <x v="0"/>
    <x v="0"/>
  </r>
  <r>
    <n v="10"/>
    <s v="Poornata ID Creation (Add a Person) - Excel Template"/>
    <n v="5159"/>
    <x v="0"/>
    <s v="N"/>
    <x v="0"/>
    <x v="0"/>
  </r>
  <r>
    <n v="18"/>
    <s v="Poornata ID creation (Through External Hire) – QC action and update if missing data-Proposed process change"/>
    <n v="5854"/>
    <x v="1"/>
    <s v="N"/>
    <x v="0"/>
    <x v="0"/>
  </r>
  <r>
    <n v="33"/>
    <s v="PH Link Initiation (ABCAP)"/>
    <n v="111114"/>
    <x v="1"/>
    <s v="N"/>
    <x v="0"/>
    <x v="0"/>
  </r>
  <r>
    <n v="15"/>
    <s v="Creation of Potential Assessment Document"/>
    <n v="5337"/>
    <x v="0"/>
    <s v="N"/>
    <x v="0"/>
    <x v="0"/>
  </r>
  <r>
    <n v="12"/>
    <s v="Job Data Update (Confirmation/Confirmation with pay rate change/Mobility)"/>
    <n v="10119"/>
    <x v="1"/>
    <s v="N"/>
    <x v="0"/>
    <x v="0"/>
  </r>
  <r>
    <n v="13"/>
    <s v="Personal Data Update (Excluding Bulk volume-43,274)"/>
    <n v="14504"/>
    <x v="1"/>
    <s v="N"/>
    <x v="0"/>
    <x v="0"/>
  </r>
  <r>
    <n v="14"/>
    <s v="Compensation Update (Excluding bulk volume-71,968)"/>
    <n v="7232"/>
    <x v="1"/>
    <s v="N"/>
    <x v="0"/>
    <x v="0"/>
  </r>
  <r>
    <n v="22"/>
    <s v="Leave Balance upload"/>
    <n v="4243"/>
    <x v="0"/>
    <s v="N"/>
    <x v="0"/>
    <x v="0"/>
  </r>
  <r>
    <n v="23"/>
    <s v="BGV initiation and Report upload _x000a_Initiate – 20 mins_x000a_Report upload 10 mins"/>
    <n v="5228"/>
    <x v="0"/>
    <s v="N"/>
    <x v="0"/>
    <x v="0"/>
  </r>
  <r>
    <n v="34"/>
    <s v="Cancelling of performance document"/>
    <n v="1639"/>
    <x v="0"/>
    <s v="N"/>
    <x v="0"/>
    <x v="1"/>
  </r>
  <r>
    <n v="35"/>
    <s v="Creation and Assigning of Curriculum/ Deeplinks/ Online Courses/ Uploading Videos"/>
    <n v="2025"/>
    <x v="0"/>
    <s v="N"/>
    <x v="0"/>
    <x v="1"/>
  </r>
  <r>
    <n v="36"/>
    <s v="Creation of performance document"/>
    <n v="2013"/>
    <x v="0"/>
    <s v="N"/>
    <x v="0"/>
    <x v="0"/>
  </r>
  <r>
    <n v="37"/>
    <s v="Exit_Approval reassignment for Clearance"/>
    <n v="1931"/>
    <x v="0"/>
    <s v="N"/>
    <x v="0"/>
    <x v="0"/>
  </r>
  <r>
    <n v="38"/>
    <s v="Holiday Schedule upload"/>
    <n v="10287"/>
    <x v="0"/>
    <s v="N"/>
    <x v="0"/>
    <x v="2"/>
  </r>
  <r>
    <n v="40"/>
    <s v="JD linkage"/>
    <n v="4037"/>
    <x v="0"/>
    <s v="N"/>
    <x v="0"/>
    <x v="1"/>
  </r>
  <r>
    <n v="39"/>
    <s v="Incident Class. / Data / sync issue"/>
    <n v="1926"/>
    <x v="0"/>
    <s v="N"/>
    <x v="0"/>
    <x v="1"/>
  </r>
  <r>
    <n v="42"/>
    <s v="Job Data Update (Resignation, Separation and Transfer)"/>
    <n v="4381"/>
    <x v="0"/>
    <s v="N"/>
    <x v="0"/>
    <x v="1"/>
  </r>
  <r>
    <n v="41"/>
    <s v="Job Data Update"/>
    <n v="45835"/>
    <x v="0"/>
    <s v="N"/>
    <x v="0"/>
    <x v="1"/>
  </r>
  <r>
    <n v="44"/>
    <s v="New/ Old Event"/>
    <n v="2192"/>
    <x v="0"/>
    <s v="N"/>
    <x v="0"/>
    <x v="0"/>
  </r>
  <r>
    <n v="43"/>
    <s v="Mobility_HR Initiated Transfer"/>
    <n v="7125"/>
    <x v="0"/>
    <s v="N"/>
    <x v="0"/>
    <x v="1"/>
  </r>
  <r>
    <n v="45"/>
    <s v="Onboarding Initiation"/>
    <n v="2676"/>
    <x v="0"/>
    <s v="N"/>
    <x v="0"/>
    <x v="0"/>
  </r>
  <r>
    <n v="46"/>
    <s v="Position Creation/ Updation/ Deactivation and JD Linkage (Job Arch ???)"/>
    <n v="9247"/>
    <x v="0"/>
    <s v="N"/>
    <x v="0"/>
    <x v="1"/>
  </r>
  <r>
    <n v="1"/>
    <s v="Data Change – Override Manager"/>
    <n v="6089"/>
    <x v="0"/>
    <s v="Y"/>
    <x v="0"/>
    <x v="1"/>
  </r>
  <r>
    <n v="2"/>
    <s v="Data Change – Use Position Reports To"/>
    <n v="3933"/>
    <x v="0"/>
    <s v="Y"/>
    <x v="0"/>
    <x v="2"/>
  </r>
  <r>
    <n v="3"/>
    <s v="Job Architecture"/>
    <n v="10692"/>
    <x v="0"/>
    <s v="Y"/>
    <x v="0"/>
    <x v="1"/>
  </r>
  <r>
    <n v="5"/>
    <s v="Data Change – Override Person Job Band"/>
    <n v="4"/>
    <x v="0"/>
    <m/>
    <x v="1"/>
    <x v="3"/>
  </r>
  <r>
    <n v="6"/>
    <s v="Data Change – Use Position Job Band"/>
    <n v="7"/>
    <x v="0"/>
    <m/>
    <x v="1"/>
    <x v="3"/>
  </r>
  <r>
    <n v="9"/>
    <s v="Poornata ID creation (Add a Person - Smart HR)"/>
    <n v="1057"/>
    <x v="0"/>
    <m/>
    <x v="1"/>
    <x v="1"/>
  </r>
  <r>
    <n v="11"/>
    <s v="Poornata ID Creation (Add POI/CWR)"/>
    <n v="573"/>
    <x v="0"/>
    <m/>
    <x v="1"/>
    <x v="0"/>
  </r>
  <r>
    <n v="21"/>
    <s v="Learning Session creation "/>
    <n v="1277"/>
    <x v="0"/>
    <m/>
    <x v="1"/>
    <x v="3"/>
  </r>
  <r>
    <n v="26"/>
    <s v="Ticket Creater"/>
    <n v="48701"/>
    <x v="0"/>
    <s v="Y"/>
    <x v="0"/>
    <x v="0"/>
  </r>
  <r>
    <n v="27"/>
    <s v="Talent Profile Creation BOT"/>
    <n v="5310"/>
    <x v="0"/>
    <s v="Y"/>
    <x v="0"/>
    <x v="0"/>
  </r>
  <r>
    <n v="28"/>
    <s v="Poornata Status update - SR Update in Transaction"/>
    <n v="53182"/>
    <x v="0"/>
    <s v="Y"/>
    <x v="0"/>
    <x v="2"/>
  </r>
  <r>
    <n v="29"/>
    <s v="Audit Sampling"/>
    <m/>
    <x v="0"/>
    <s v="Y"/>
    <x v="0"/>
    <x v="2"/>
  </r>
  <r>
    <n v="30"/>
    <s v="Create a Dashboard"/>
    <m/>
    <x v="0"/>
    <s v="Y"/>
    <x v="0"/>
    <x v="2"/>
  </r>
  <r>
    <n v="31"/>
    <s v="Cement ticket creator"/>
    <m/>
    <x v="0"/>
    <s v="Y"/>
    <x v="0"/>
    <x v="0"/>
  </r>
  <r>
    <n v="32"/>
    <s v="Potential Assesment"/>
    <n v="6316"/>
    <x v="0"/>
    <s v="Y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Job Description Update"/>
    <n v="7168"/>
    <x v="0"/>
  </r>
  <r>
    <s v="Bank Data Update"/>
    <n v="3695"/>
    <x v="1"/>
  </r>
  <r>
    <s v="Education Data"/>
    <n v="2981"/>
    <x v="1"/>
  </r>
  <r>
    <s v="National ID, PAN, Aadhar, Passport, Visa, Address"/>
    <n v="9845"/>
    <x v="1"/>
  </r>
  <r>
    <s v="FnF Settlement"/>
    <n v="12829"/>
    <x v="0"/>
  </r>
  <r>
    <s v="Data Change – Data Change"/>
    <n v="6804"/>
    <x v="0"/>
  </r>
  <r>
    <s v="External Hire Poornata ID creation"/>
    <n v="5170"/>
    <x v="0"/>
  </r>
  <r>
    <s v="Maker-Checker - ACR Letter"/>
    <m/>
    <x v="0"/>
  </r>
  <r>
    <s v="Poornata ID Creation (Add a Person) (Proposed Process Change)"/>
    <n v="8925"/>
    <x v="1"/>
  </r>
  <r>
    <s v="Poornata ID Creation (Add a Person) - Excel Template"/>
    <n v="5159"/>
    <x v="0"/>
  </r>
  <r>
    <s v="Poornata ID creation (Through External Hire) – QC action and update if missing data-Proposed process change"/>
    <n v="5854"/>
    <x v="1"/>
  </r>
  <r>
    <s v="PH Link Initiation (ABCAP)"/>
    <n v="111114"/>
    <x v="1"/>
  </r>
  <r>
    <s v="Creation of Potential Assessment Document"/>
    <n v="5337"/>
    <x v="0"/>
  </r>
  <r>
    <s v="Job Data Update (Confirmation/Confirmation with pay rate change/Mobility)"/>
    <n v="10119"/>
    <x v="1"/>
  </r>
  <r>
    <s v="Personal Data Update (Excluding Bulk volume-43,274)"/>
    <n v="14504"/>
    <x v="1"/>
  </r>
  <r>
    <s v="Compensation Update (Excluding bulk volume-71,968)"/>
    <n v="7232"/>
    <x v="1"/>
  </r>
  <r>
    <s v="Leave Balance upload"/>
    <n v="4243"/>
    <x v="0"/>
  </r>
  <r>
    <s v="BGV initiation and Report upload _x000a_Initiate – 20 mins_x000a_Report upload 10 mins"/>
    <n v="5228"/>
    <x v="0"/>
  </r>
  <r>
    <s v="Cancelling of performance document"/>
    <n v="1639"/>
    <x v="0"/>
  </r>
  <r>
    <s v="Creation and Assigning of Curriculum/ Deeplinks/ Online Courses/ Uploading Videos"/>
    <n v="2025"/>
    <x v="0"/>
  </r>
  <r>
    <s v="Creation of performance document"/>
    <n v="2013"/>
    <x v="0"/>
  </r>
  <r>
    <s v="Exit_Approval reassignment for Clearance"/>
    <n v="1931"/>
    <x v="0"/>
  </r>
  <r>
    <s v="Holiday Schedule upload"/>
    <n v="10287"/>
    <x v="0"/>
  </r>
  <r>
    <s v="JD linkage"/>
    <n v="4037"/>
    <x v="0"/>
  </r>
  <r>
    <s v="Incident Class. / Data / sync issue"/>
    <n v="1926"/>
    <x v="0"/>
  </r>
  <r>
    <s v="Job Data Update (Resignation, Separation and Transfer)"/>
    <n v="4381"/>
    <x v="0"/>
  </r>
  <r>
    <s v="Job Data Update"/>
    <n v="45835"/>
    <x v="0"/>
  </r>
  <r>
    <s v="New/ Old Event"/>
    <n v="2192"/>
    <x v="0"/>
  </r>
  <r>
    <s v="Mobility_HR Initiated Transfer"/>
    <n v="7125"/>
    <x v="0"/>
  </r>
  <r>
    <s v="Onboarding Initiation"/>
    <n v="2676"/>
    <x v="0"/>
  </r>
  <r>
    <s v="Position Creation/ Updation/ Deactivation and JD Linkage (Job Arch ???)"/>
    <n v="9247"/>
    <x v="0"/>
  </r>
  <r>
    <s v="Data Change – Override Manager"/>
    <n v="6089"/>
    <x v="0"/>
  </r>
  <r>
    <s v="Data Change – Use Position Reports To"/>
    <n v="3933"/>
    <x v="0"/>
  </r>
  <r>
    <s v="Job Architecture"/>
    <n v="10692"/>
    <x v="0"/>
  </r>
  <r>
    <s v="Data Change – Override Person Job Band"/>
    <n v="4"/>
    <x v="0"/>
  </r>
  <r>
    <s v="Data Change – Use Position Job Band"/>
    <n v="7"/>
    <x v="0"/>
  </r>
  <r>
    <s v="Poornata ID creation (Add a Person - Smart HR)"/>
    <n v="1057"/>
    <x v="0"/>
  </r>
  <r>
    <s v="Poornata ID Creation (Add POI/CWR)"/>
    <n v="573"/>
    <x v="0"/>
  </r>
  <r>
    <s v="Learning Session creation "/>
    <n v="1277"/>
    <x v="0"/>
  </r>
  <r>
    <s v="Ticket Creater"/>
    <n v="48701"/>
    <x v="0"/>
  </r>
  <r>
    <s v="Talent Profile Creation BOT"/>
    <n v="5310"/>
    <x v="0"/>
  </r>
  <r>
    <s v="Poornata Status update - SR Update in Transaction"/>
    <n v="53182"/>
    <x v="0"/>
  </r>
  <r>
    <s v="Audit Sampling"/>
    <m/>
    <x v="0"/>
  </r>
  <r>
    <s v="Create a Dashboard"/>
    <m/>
    <x v="0"/>
  </r>
  <r>
    <s v="Cement ticket creator"/>
    <m/>
    <x v="0"/>
  </r>
  <r>
    <s v="Potential Assesment"/>
    <n v="6316"/>
    <x v="0"/>
  </r>
  <r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Job Description Update"/>
    <n v="7168"/>
    <x v="0"/>
    <x v="0"/>
  </r>
  <r>
    <s v="National ID, PAN, Aadhar, Passport, Visa, Address"/>
    <n v="9845"/>
    <x v="1"/>
    <x v="1"/>
  </r>
  <r>
    <s v="Bank Data Update"/>
    <n v="3695"/>
    <x v="1"/>
    <x v="1"/>
  </r>
  <r>
    <s v="Education Data"/>
    <n v="2981"/>
    <x v="1"/>
    <x v="0"/>
  </r>
  <r>
    <s v="FnF Settlement"/>
    <n v="12829"/>
    <x v="0"/>
    <x v="2"/>
  </r>
  <r>
    <s v="Holiday Schedule upload"/>
    <n v="10287"/>
    <x v="0"/>
    <x v="2"/>
  </r>
  <r>
    <s v="Job Data Update"/>
    <n v="45835"/>
    <x v="0"/>
    <x v="0"/>
  </r>
  <r>
    <s v="Maker-Checker - ACR Letter"/>
    <n v="5000"/>
    <x v="0"/>
    <x v="3"/>
  </r>
  <r>
    <s v="PH Link Initiation (ABCAP)"/>
    <n v="111114"/>
    <x v="1"/>
    <x v="0"/>
  </r>
  <r>
    <s v="Poornata ID Creation (Add a Person) (Proposed Process Change)"/>
    <n v="8925"/>
    <x v="1"/>
    <x v="0"/>
  </r>
  <r>
    <s v="Poornata ID creation (Through External Hire) – QC action and update if missing data-Proposed process change"/>
    <n v="5854"/>
    <x v="1"/>
    <x v="0"/>
  </r>
  <r>
    <s v="Position Creation/ Updation/ Deactivation and JD Linkage (Job Arch ???)"/>
    <n v="9247"/>
    <x v="0"/>
    <x v="0"/>
  </r>
  <r>
    <s v="Creation of Potential Assessment Document"/>
    <n v="5337"/>
    <x v="0"/>
    <x v="0"/>
  </r>
  <r>
    <s v="Personal Data Update (Excluding Bulk volume-43,274)"/>
    <n v="14504"/>
    <x v="1"/>
    <x v="0"/>
  </r>
  <r>
    <s v="Job Data Update (Confirmation/Confirmation with pay rate change/Mobility)"/>
    <n v="10119"/>
    <x v="1"/>
    <x v="0"/>
  </r>
  <r>
    <s v="Compensation Update (Excluding bulk volume-71,968)"/>
    <n v="7232"/>
    <x v="1"/>
    <x v="0"/>
  </r>
  <r>
    <s v="Leave Balance upload"/>
    <n v="4243"/>
    <x v="0"/>
    <x v="2"/>
  </r>
  <r>
    <s v="BGV initiation and Report upload _x000a_Initiate – 20 mins_x000a_Report upload 10 mins"/>
    <n v="5228"/>
    <x v="0"/>
    <x v="0"/>
  </r>
  <r>
    <s v="Cancelling of performance document"/>
    <n v="1639"/>
    <x v="0"/>
    <x v="3"/>
  </r>
  <r>
    <s v="Creation and Assigning of Curriculum/ Deeplinks/ Online Courses/ Uploading Videos"/>
    <n v="2025"/>
    <x v="0"/>
    <x v="2"/>
  </r>
  <r>
    <s v="Creation of performance document"/>
    <n v="2013"/>
    <x v="0"/>
    <x v="3"/>
  </r>
  <r>
    <s v="Exit_Approval reassignment for Clearance"/>
    <n v="1931"/>
    <x v="0"/>
    <x v="2"/>
  </r>
  <r>
    <s v="Data Change – Data Change"/>
    <n v="6804"/>
    <x v="0"/>
    <x v="0"/>
  </r>
  <r>
    <s v="JD linkage"/>
    <n v="4037"/>
    <x v="0"/>
    <x v="0"/>
  </r>
  <r>
    <s v="Incident Class. / Data / sync issue"/>
    <n v="1926"/>
    <x v="0"/>
    <x v="0"/>
  </r>
  <r>
    <s v="Job Data Update (Resignation, Separation and Transfer)"/>
    <n v="4381"/>
    <x v="0"/>
    <x v="4"/>
  </r>
  <r>
    <s v="Mobility_HR Initiated Transfer"/>
    <n v="7125"/>
    <x v="0"/>
    <x v="2"/>
  </r>
  <r>
    <s v="External Hire Poornata ID creation"/>
    <n v="5170"/>
    <x v="0"/>
    <x v="0"/>
  </r>
  <r>
    <s v="Poornata ID Creation (Add a Person) - Excel Template"/>
    <n v="5159"/>
    <x v="0"/>
    <x v="4"/>
  </r>
  <r>
    <s v="New/ Old Event"/>
    <n v="2192"/>
    <x v="0"/>
    <x v="0"/>
  </r>
  <r>
    <s v="Onboarding Initiation"/>
    <n v="2676"/>
    <x v="0"/>
    <x v="1"/>
  </r>
  <r>
    <s v="Data Change – Override Manager"/>
    <n v="6089"/>
    <x v="0"/>
    <x v="0"/>
  </r>
  <r>
    <s v="Data Change – Use Position Reports To"/>
    <n v="3933"/>
    <x v="0"/>
    <x v="0"/>
  </r>
  <r>
    <s v="Job Architecture"/>
    <n v="10692"/>
    <x v="0"/>
    <x v="0"/>
  </r>
  <r>
    <s v="Data Change – Override Person Job Band"/>
    <n v="4"/>
    <x v="0"/>
    <x v="5"/>
  </r>
  <r>
    <s v="Data Change – Use Position Job Band"/>
    <n v="7"/>
    <x v="0"/>
    <x v="5"/>
  </r>
  <r>
    <s v="Poornata ID creation (Add a Person - Smart HR)"/>
    <n v="1057"/>
    <x v="0"/>
    <x v="5"/>
  </r>
  <r>
    <s v="Poornata ID Creation (Add POI/CWR)"/>
    <n v="573"/>
    <x v="0"/>
    <x v="5"/>
  </r>
  <r>
    <s v="Learning Session creation "/>
    <n v="1277"/>
    <x v="0"/>
    <x v="5"/>
  </r>
  <r>
    <s v="Ticket Creater"/>
    <n v="48701"/>
    <x v="0"/>
    <x v="0"/>
  </r>
  <r>
    <s v="Talent Profile Creation BOT"/>
    <n v="5310"/>
    <x v="0"/>
    <x v="6"/>
  </r>
  <r>
    <s v="Poornata Status update - SR Update in Transaction"/>
    <n v="53182"/>
    <x v="0"/>
    <x v="0"/>
  </r>
  <r>
    <s v="Audit Sampling"/>
    <n v="5000"/>
    <x v="0"/>
    <x v="6"/>
  </r>
  <r>
    <s v="Create a Dashboard"/>
    <n v="5000"/>
    <x v="0"/>
    <x v="0"/>
  </r>
  <r>
    <s v="Cement ticket creator"/>
    <n v="5000"/>
    <x v="0"/>
    <x v="0"/>
  </r>
  <r>
    <s v="Potential Assesment"/>
    <n v="6316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PA UseCases">
  <location ref="A3:E7" firstHeaderRow="1" firstDataRow="2" firstDataCol="1" rowPageCount="1" colPageCount="1"/>
  <pivotFields count="7"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Page" multipleItemSelectionAllowed="1" showAll="0">
      <items count="3">
        <item h="1" x="1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5"/>
  </pageFields>
  <dataFields count="1">
    <dataField name="Count of UseCase Name" fld="1" subtotal="count" baseField="0" baseItem="0"/>
  </dataFields>
  <formats count="18">
    <format dxfId="0">
      <pivotArea outline="0" collapsedLevelsAreSubtotals="1" fieldPosition="0"/>
    </format>
    <format dxfId="1">
      <pivotArea field="3" type="button" dataOnly="0" labelOnly="1" outline="0" fieldPosition="0"/>
    </format>
    <format dxfId="2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4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5">
      <pivotArea dataOnly="0" labelOnly="1" grandCol="1" outline="0" fieldPosition="0"/>
    </format>
    <format dxfId="6">
      <pivotArea outline="0" collapsedLevelsAreSubtotals="1" fieldPosition="0"/>
    </format>
    <format dxfId="7">
      <pivotArea field="3" type="button" dataOnly="0" labelOnly="1" outline="0" fieldPosition="0"/>
    </format>
    <format dxfId="8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11">
      <pivotArea dataOnly="0" labelOnly="1" grandCol="1" outline="0" fieldPosition="0"/>
    </format>
    <format dxfId="12">
      <pivotArea outline="0" collapsedLevelsAreSubtotals="1" fieldPosition="0"/>
    </format>
    <format dxfId="13">
      <pivotArea field="3" type="button" dataOnly="0" labelOnly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6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17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7" firstHeaderRow="1" firstDataRow="1" firstDataCol="1"/>
  <pivotFields count="3"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erage Transactions (Annual)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H7" firstHeaderRow="1" firstDataRow="2" firstDataCol="1"/>
  <pivotFields count="4">
    <pivotField dataField="1"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8">
        <item x="3"/>
        <item x="6"/>
        <item x="0"/>
        <item x="2"/>
        <item x="4"/>
        <item x="1"/>
        <item h="1" x="5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Case Name" fld="0" subtotal="count" baseField="0" baseItem="0"/>
  </dataFields>
  <formats count="34"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3" type="button" dataOnly="0" labelOnly="1" outline="0" fieldPosition="0"/>
    </format>
    <format dxfId="22">
      <pivotArea type="topRight" dataOnly="0" labelOnly="1" outline="0" fieldPosition="0"/>
    </format>
    <format dxfId="23">
      <pivotArea field="2" type="button" dataOnly="0" labelOnly="1" outline="0" fieldPosition="0"/>
    </format>
    <format dxfId="24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6">
      <pivotArea dataOnly="0" labelOnly="1" fieldPosition="0">
        <references count="1">
          <reference field="3" count="0"/>
        </references>
      </pivotArea>
    </format>
    <format dxfId="27">
      <pivotArea dataOnly="0" labelOnly="1" grandCol="1" outline="0" fieldPosition="0"/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3" type="button" dataOnly="0" labelOnly="1" outline="0" fieldPosition="0"/>
    </format>
    <format dxfId="32">
      <pivotArea type="topRight" dataOnly="0" labelOnly="1" outline="0" fieldPosition="0"/>
    </format>
    <format dxfId="33">
      <pivotArea field="2" type="button" dataOnly="0" labelOnly="1" outline="0" fieldPosition="0"/>
    </format>
    <format dxfId="34">
      <pivotArea dataOnly="0" labelOnly="1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6">
      <pivotArea dataOnly="0" labelOnly="1" fieldPosition="0">
        <references count="1">
          <reference field="3" count="0"/>
        </references>
      </pivotArea>
    </format>
    <format dxfId="37">
      <pivotArea dataOnly="0" labelOnly="1" grandCol="1" outline="0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type="origin" dataOnly="0" labelOnly="1" outline="0" fieldPosition="0"/>
    </format>
    <format dxfId="41">
      <pivotArea field="3" type="button" dataOnly="0" labelOnly="1" outline="0" fieldPosition="0"/>
    </format>
    <format dxfId="42">
      <pivotArea type="topRight" dataOnly="0" labelOnly="1" outline="0" fieldPosition="0"/>
    </format>
    <format dxfId="43">
      <pivotArea field="2" type="button" dataOnly="0" labelOnly="1" outline="0" fieldPosition="0"/>
    </format>
    <format dxfId="44">
      <pivotArea dataOnly="0" labelOnly="1" fieldPosition="0">
        <references count="1">
          <reference field="2" count="0"/>
        </references>
      </pivotArea>
    </format>
    <format dxfId="45">
      <pivotArea dataOnly="0" labelOnly="1" grandRow="1" outline="0" fieldPosition="0"/>
    </format>
    <format dxfId="46">
      <pivotArea dataOnly="0" labelOnly="1" fieldPosition="0">
        <references count="1">
          <reference field="3" count="0"/>
        </references>
      </pivotArea>
    </format>
    <format dxfId="47">
      <pivotArea dataOnly="0" labelOnly="1" grandCol="1" outline="0" fieldPosition="0"/>
    </format>
    <format dxfId="48">
      <pivotArea field="2" type="button" dataOnly="0" labelOnly="1" outline="0" fieldPosition="0"/>
    </format>
    <format dxfId="49">
      <pivotArea dataOnly="0" labelOnly="1" fieldPosition="0">
        <references count="1">
          <reference field="3" count="0"/>
        </references>
      </pivotArea>
    </format>
    <format dxfId="50">
      <pivotArea dataOnly="0" labelOnly="1" grandCol="1" outline="0" fieldPosition="0"/>
    </format>
    <format dxfId="5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J47"/>
  <sheetViews>
    <sheetView workbookViewId="0">
      <selection activeCell="F19" sqref="F19"/>
    </sheetView>
  </sheetViews>
  <sheetFormatPr defaultColWidth="24.1363636363636" defaultRowHeight="13"/>
  <cols>
    <col min="1" max="1" width="14.4272727272727" style="82" customWidth="1"/>
    <col min="2" max="2" width="24.1363636363636" style="82"/>
    <col min="3" max="7" width="24.1363636363636" style="82" customWidth="1"/>
    <col min="8" max="9" width="24.1363636363636" style="82"/>
    <col min="10" max="10" width="28.1363636363636" style="82" customWidth="1"/>
    <col min="11" max="16384" width="24.1363636363636" style="82"/>
  </cols>
  <sheetData>
    <row r="1" ht="21.95" customHeight="1" spans="1:10">
      <c r="A1" s="254" t="s">
        <v>0</v>
      </c>
      <c r="B1" s="254" t="s">
        <v>1</v>
      </c>
      <c r="C1" s="99" t="s">
        <v>2</v>
      </c>
      <c r="D1" s="99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260" t="s">
        <v>9</v>
      </c>
    </row>
    <row r="2" ht="26" hidden="1" spans="1:10">
      <c r="A2" s="10">
        <v>1</v>
      </c>
      <c r="B2" s="10" t="s">
        <v>10</v>
      </c>
      <c r="C2" s="87">
        <v>6089</v>
      </c>
      <c r="D2" s="87" t="s">
        <v>11</v>
      </c>
      <c r="E2" s="87" t="s">
        <v>12</v>
      </c>
      <c r="F2" s="87" t="s">
        <v>12</v>
      </c>
      <c r="G2" s="222" t="s">
        <v>13</v>
      </c>
      <c r="H2" s="87"/>
      <c r="I2" s="87" t="s">
        <v>14</v>
      </c>
      <c r="J2" s="87"/>
    </row>
    <row r="3" ht="26" hidden="1" spans="1:10">
      <c r="A3" s="10">
        <v>2</v>
      </c>
      <c r="B3" s="10" t="s">
        <v>15</v>
      </c>
      <c r="C3" s="87">
        <v>3933</v>
      </c>
      <c r="D3" s="87" t="s">
        <v>11</v>
      </c>
      <c r="E3" s="87" t="s">
        <v>12</v>
      </c>
      <c r="F3" s="87" t="s">
        <v>12</v>
      </c>
      <c r="G3" s="222" t="s">
        <v>16</v>
      </c>
      <c r="H3" s="87"/>
      <c r="I3" s="87" t="s">
        <v>14</v>
      </c>
      <c r="J3" s="87"/>
    </row>
    <row r="4" ht="14.5" hidden="1" spans="1:10">
      <c r="A4" s="10">
        <v>3</v>
      </c>
      <c r="B4" s="10" t="s">
        <v>17</v>
      </c>
      <c r="C4" s="87">
        <v>10692</v>
      </c>
      <c r="D4" s="87" t="s">
        <v>11</v>
      </c>
      <c r="E4" s="87" t="s">
        <v>12</v>
      </c>
      <c r="F4" s="87" t="s">
        <v>12</v>
      </c>
      <c r="G4" s="222" t="s">
        <v>13</v>
      </c>
      <c r="H4" s="87"/>
      <c r="I4" s="87" t="s">
        <v>14</v>
      </c>
      <c r="J4" s="135"/>
    </row>
    <row r="5" ht="23.25" customHeight="1" spans="1:10">
      <c r="A5" s="10">
        <v>4</v>
      </c>
      <c r="B5" s="10" t="s">
        <v>18</v>
      </c>
      <c r="C5" s="87">
        <v>7168</v>
      </c>
      <c r="D5" s="87" t="s">
        <v>11</v>
      </c>
      <c r="E5" s="87" t="s">
        <v>19</v>
      </c>
      <c r="F5" s="87" t="s">
        <v>12</v>
      </c>
      <c r="G5" s="10" t="s">
        <v>20</v>
      </c>
      <c r="H5" s="87">
        <f>VLOOKUP(_xlfn.CONCAT(D5,G5),'Estimation Guidelines'!C:L,10,FALSE)</f>
        <v>8.6</v>
      </c>
      <c r="I5" s="87" t="s">
        <v>21</v>
      </c>
      <c r="J5" s="87" t="s">
        <v>22</v>
      </c>
    </row>
    <row r="6" ht="26" hidden="1" spans="1:9">
      <c r="A6" s="10">
        <v>5</v>
      </c>
      <c r="B6" s="255" t="s">
        <v>23</v>
      </c>
      <c r="C6" s="87">
        <v>4</v>
      </c>
      <c r="D6" s="87" t="s">
        <v>11</v>
      </c>
      <c r="E6" s="87"/>
      <c r="F6" s="87" t="s">
        <v>19</v>
      </c>
      <c r="G6" s="225"/>
      <c r="H6" s="87"/>
      <c r="I6" s="87"/>
    </row>
    <row r="7" ht="26" hidden="1" spans="1:9">
      <c r="A7" s="10">
        <v>6</v>
      </c>
      <c r="B7" s="255" t="s">
        <v>24</v>
      </c>
      <c r="C7" s="87">
        <v>7</v>
      </c>
      <c r="D7" s="87" t="s">
        <v>11</v>
      </c>
      <c r="E7" s="87"/>
      <c r="F7" s="87" t="s">
        <v>19</v>
      </c>
      <c r="G7" s="225"/>
      <c r="H7" s="87"/>
      <c r="I7" s="87"/>
    </row>
    <row r="8" ht="24.95" customHeight="1" spans="1:10">
      <c r="A8" s="10">
        <v>7</v>
      </c>
      <c r="B8" s="10" t="s">
        <v>25</v>
      </c>
      <c r="C8" s="87">
        <v>6804</v>
      </c>
      <c r="D8" s="87" t="s">
        <v>11</v>
      </c>
      <c r="E8" s="87" t="s">
        <v>19</v>
      </c>
      <c r="F8" s="87" t="s">
        <v>12</v>
      </c>
      <c r="G8" s="10" t="s">
        <v>13</v>
      </c>
      <c r="H8" s="87">
        <f>VLOOKUP(_xlfn.CONCAT(D8,G8),'Estimation Guidelines'!C:L,10,FALSE)</f>
        <v>5.8</v>
      </c>
      <c r="I8" s="87" t="s">
        <v>21</v>
      </c>
      <c r="J8" s="87" t="s">
        <v>26</v>
      </c>
    </row>
    <row r="9" ht="26" spans="1:10">
      <c r="A9" s="10">
        <v>8</v>
      </c>
      <c r="B9" s="10" t="s">
        <v>27</v>
      </c>
      <c r="C9" s="87">
        <v>5170</v>
      </c>
      <c r="D9" s="87" t="s">
        <v>11</v>
      </c>
      <c r="E9" s="87" t="s">
        <v>19</v>
      </c>
      <c r="F9" s="87" t="s">
        <v>12</v>
      </c>
      <c r="G9" s="10" t="s">
        <v>20</v>
      </c>
      <c r="H9" s="87">
        <f>VLOOKUP(_xlfn.CONCAT(D9,G9),'Estimation Guidelines'!C:L,10,FALSE)</f>
        <v>8.6</v>
      </c>
      <c r="I9" s="87" t="s">
        <v>21</v>
      </c>
      <c r="J9" s="87" t="s">
        <v>28</v>
      </c>
    </row>
    <row r="10" ht="26" hidden="1" spans="1:9">
      <c r="A10" s="10">
        <v>9</v>
      </c>
      <c r="B10" s="255" t="s">
        <v>29</v>
      </c>
      <c r="C10" s="87">
        <v>1057</v>
      </c>
      <c r="D10" s="87" t="s">
        <v>11</v>
      </c>
      <c r="E10" s="87"/>
      <c r="F10" s="87" t="s">
        <v>19</v>
      </c>
      <c r="G10" s="222" t="s">
        <v>13</v>
      </c>
      <c r="H10" s="87"/>
      <c r="I10" s="87"/>
    </row>
    <row r="11" ht="26" spans="1:10">
      <c r="A11" s="10">
        <v>10</v>
      </c>
      <c r="B11" s="10" t="s">
        <v>30</v>
      </c>
      <c r="C11" s="87">
        <v>5159</v>
      </c>
      <c r="D11" s="87" t="s">
        <v>11</v>
      </c>
      <c r="E11" s="87" t="s">
        <v>19</v>
      </c>
      <c r="F11" s="87" t="s">
        <v>12</v>
      </c>
      <c r="G11" s="10" t="s">
        <v>20</v>
      </c>
      <c r="H11" s="87">
        <f>VLOOKUP(_xlfn.CONCAT(D11,G11),'Estimation Guidelines'!C:L,10,FALSE)</f>
        <v>8.6</v>
      </c>
      <c r="I11" s="87" t="s">
        <v>21</v>
      </c>
      <c r="J11" s="87" t="s">
        <v>31</v>
      </c>
    </row>
    <row r="12" ht="26" hidden="1" spans="1:9">
      <c r="A12" s="10">
        <v>11</v>
      </c>
      <c r="B12" s="255" t="s">
        <v>32</v>
      </c>
      <c r="C12" s="87">
        <v>573</v>
      </c>
      <c r="D12" s="87" t="s">
        <v>11</v>
      </c>
      <c r="E12" s="87"/>
      <c r="F12" s="87" t="s">
        <v>19</v>
      </c>
      <c r="G12" s="222" t="s">
        <v>20</v>
      </c>
      <c r="H12" s="87"/>
      <c r="I12" s="87"/>
    </row>
    <row r="13" ht="52" spans="1:10">
      <c r="A13" s="10">
        <v>12</v>
      </c>
      <c r="B13" s="10" t="s">
        <v>33</v>
      </c>
      <c r="C13" s="87">
        <v>10119</v>
      </c>
      <c r="D13" s="87" t="s">
        <v>34</v>
      </c>
      <c r="E13" s="87" t="s">
        <v>19</v>
      </c>
      <c r="F13" s="87" t="s">
        <v>12</v>
      </c>
      <c r="G13" s="256" t="s">
        <v>20</v>
      </c>
      <c r="H13" s="87">
        <f>VLOOKUP(_xlfn.CONCAT(D13,G13),'Estimation Guidelines'!C:L,10,FALSE)</f>
        <v>11.6</v>
      </c>
      <c r="I13" s="87" t="s">
        <v>35</v>
      </c>
      <c r="J13" s="87" t="s">
        <v>36</v>
      </c>
    </row>
    <row r="14" ht="39" spans="1:10">
      <c r="A14" s="10">
        <v>13</v>
      </c>
      <c r="B14" s="10" t="s">
        <v>37</v>
      </c>
      <c r="C14" s="87">
        <v>14504</v>
      </c>
      <c r="D14" s="87" t="s">
        <v>34</v>
      </c>
      <c r="E14" s="87" t="s">
        <v>19</v>
      </c>
      <c r="F14" s="87" t="s">
        <v>12</v>
      </c>
      <c r="G14" s="256" t="s">
        <v>20</v>
      </c>
      <c r="H14" s="87">
        <f>VLOOKUP(_xlfn.CONCAT(D14,G14),'Estimation Guidelines'!C:L,10,FALSE)</f>
        <v>11.6</v>
      </c>
      <c r="I14" s="87" t="s">
        <v>35</v>
      </c>
      <c r="J14" s="87" t="s">
        <v>36</v>
      </c>
    </row>
    <row r="15" ht="39" spans="1:10">
      <c r="A15" s="10">
        <v>14</v>
      </c>
      <c r="B15" s="10" t="s">
        <v>38</v>
      </c>
      <c r="C15" s="87">
        <v>7232</v>
      </c>
      <c r="D15" s="87" t="s">
        <v>34</v>
      </c>
      <c r="E15" s="87" t="s">
        <v>19</v>
      </c>
      <c r="F15" s="87" t="s">
        <v>12</v>
      </c>
      <c r="G15" s="256" t="s">
        <v>20</v>
      </c>
      <c r="H15" s="87">
        <f>VLOOKUP(_xlfn.CONCAT(D15,G15),'Estimation Guidelines'!C:L,10,FALSE)</f>
        <v>11.6</v>
      </c>
      <c r="I15" s="87" t="s">
        <v>35</v>
      </c>
      <c r="J15" s="87" t="s">
        <v>36</v>
      </c>
    </row>
    <row r="16" ht="26" spans="1:10">
      <c r="A16" s="10">
        <v>15</v>
      </c>
      <c r="B16" s="10" t="s">
        <v>39</v>
      </c>
      <c r="C16" s="87">
        <v>5337</v>
      </c>
      <c r="D16" s="87" t="s">
        <v>11</v>
      </c>
      <c r="E16" s="87" t="s">
        <v>19</v>
      </c>
      <c r="F16" s="87" t="s">
        <v>12</v>
      </c>
      <c r="G16" s="257" t="s">
        <v>20</v>
      </c>
      <c r="H16" s="87">
        <f>VLOOKUP(_xlfn.CONCAT(D16,G16),'Estimation Guidelines'!C:L,10,FALSE)</f>
        <v>8.6</v>
      </c>
      <c r="I16" s="87" t="s">
        <v>21</v>
      </c>
      <c r="J16" s="87" t="s">
        <v>40</v>
      </c>
    </row>
    <row r="17" ht="39" spans="1:10">
      <c r="A17" s="10">
        <v>16</v>
      </c>
      <c r="B17" s="10" t="s">
        <v>41</v>
      </c>
      <c r="C17" s="87">
        <v>8925</v>
      </c>
      <c r="D17" s="87" t="s">
        <v>34</v>
      </c>
      <c r="E17" s="87" t="s">
        <v>19</v>
      </c>
      <c r="F17" s="87" t="s">
        <v>12</v>
      </c>
      <c r="G17" s="256" t="s">
        <v>20</v>
      </c>
      <c r="H17" s="87">
        <f>VLOOKUP(_xlfn.CONCAT(D17,G17),'Estimation Guidelines'!C:L,10,FALSE)</f>
        <v>11.6</v>
      </c>
      <c r="I17" s="87" t="s">
        <v>35</v>
      </c>
      <c r="J17" s="87" t="s">
        <v>42</v>
      </c>
    </row>
    <row r="18" spans="1:10">
      <c r="A18" s="10">
        <v>17</v>
      </c>
      <c r="B18" s="10" t="s">
        <v>43</v>
      </c>
      <c r="C18" s="87">
        <v>3695</v>
      </c>
      <c r="D18" s="87" t="s">
        <v>34</v>
      </c>
      <c r="E18" s="87" t="s">
        <v>19</v>
      </c>
      <c r="F18" s="87" t="s">
        <v>12</v>
      </c>
      <c r="G18" s="256" t="s">
        <v>13</v>
      </c>
      <c r="H18" s="87">
        <f>VLOOKUP(_xlfn.CONCAT(D18,G18),'Estimation Guidelines'!C:L,10,FALSE)</f>
        <v>8.8</v>
      </c>
      <c r="I18" s="87" t="s">
        <v>35</v>
      </c>
      <c r="J18" s="87" t="s">
        <v>44</v>
      </c>
    </row>
    <row r="19" ht="52" spans="1:10">
      <c r="A19" s="10">
        <v>18</v>
      </c>
      <c r="B19" s="10" t="s">
        <v>45</v>
      </c>
      <c r="C19" s="87">
        <v>5854</v>
      </c>
      <c r="D19" s="87" t="s">
        <v>34</v>
      </c>
      <c r="E19" s="87" t="s">
        <v>19</v>
      </c>
      <c r="F19" s="87" t="s">
        <v>12</v>
      </c>
      <c r="G19" s="256" t="s">
        <v>20</v>
      </c>
      <c r="H19" s="87">
        <f>VLOOKUP(_xlfn.CONCAT(D19,G19),'Estimation Guidelines'!C:L,10,FALSE)</f>
        <v>11.6</v>
      </c>
      <c r="I19" s="87" t="s">
        <v>35</v>
      </c>
      <c r="J19" s="87" t="s">
        <v>42</v>
      </c>
    </row>
    <row r="20" spans="1:10">
      <c r="A20" s="10">
        <v>19</v>
      </c>
      <c r="B20" s="10" t="s">
        <v>46</v>
      </c>
      <c r="C20" s="87">
        <v>2981</v>
      </c>
      <c r="D20" s="87" t="s">
        <v>34</v>
      </c>
      <c r="E20" s="87" t="s">
        <v>19</v>
      </c>
      <c r="F20" s="87" t="s">
        <v>12</v>
      </c>
      <c r="G20" s="256" t="s">
        <v>20</v>
      </c>
      <c r="H20" s="87">
        <f>VLOOKUP(_xlfn.CONCAT(D20,G20),'Estimation Guidelines'!C:L,10,FALSE)</f>
        <v>11.6</v>
      </c>
      <c r="I20" s="87" t="s">
        <v>35</v>
      </c>
      <c r="J20" s="87" t="s">
        <v>47</v>
      </c>
    </row>
    <row r="21" ht="26" spans="1:10">
      <c r="A21" s="10">
        <v>20</v>
      </c>
      <c r="B21" s="10" t="s">
        <v>48</v>
      </c>
      <c r="C21" s="87">
        <v>9845</v>
      </c>
      <c r="D21" s="87" t="s">
        <v>34</v>
      </c>
      <c r="E21" s="87" t="s">
        <v>19</v>
      </c>
      <c r="F21" s="87" t="s">
        <v>12</v>
      </c>
      <c r="G21" s="256" t="s">
        <v>20</v>
      </c>
      <c r="H21" s="87">
        <f>VLOOKUP(_xlfn.CONCAT(D21,G21),'Estimation Guidelines'!C:L,10,FALSE)</f>
        <v>11.6</v>
      </c>
      <c r="I21" s="87" t="s">
        <v>35</v>
      </c>
      <c r="J21" s="87" t="s">
        <v>44</v>
      </c>
    </row>
    <row r="22" ht="14.5" hidden="1" spans="1:9">
      <c r="A22" s="10">
        <v>21</v>
      </c>
      <c r="B22" s="255" t="s">
        <v>49</v>
      </c>
      <c r="C22" s="87">
        <v>1277</v>
      </c>
      <c r="D22" s="87" t="s">
        <v>11</v>
      </c>
      <c r="E22" s="87"/>
      <c r="F22" s="87" t="s">
        <v>19</v>
      </c>
      <c r="G22" s="248"/>
      <c r="H22" s="87"/>
      <c r="I22" s="87"/>
    </row>
    <row r="23" spans="1:10">
      <c r="A23" s="10">
        <v>22</v>
      </c>
      <c r="B23" s="10" t="s">
        <v>50</v>
      </c>
      <c r="C23" s="87">
        <v>4243</v>
      </c>
      <c r="D23" s="87" t="s">
        <v>11</v>
      </c>
      <c r="E23" s="87" t="s">
        <v>19</v>
      </c>
      <c r="F23" s="87" t="s">
        <v>12</v>
      </c>
      <c r="G23" s="256" t="s">
        <v>20</v>
      </c>
      <c r="H23" s="87">
        <f>VLOOKUP(_xlfn.CONCAT(D23,G23),'Estimation Guidelines'!C:L,10,FALSE)</f>
        <v>8.6</v>
      </c>
      <c r="I23" s="87" t="s">
        <v>21</v>
      </c>
      <c r="J23" s="87" t="s">
        <v>51</v>
      </c>
    </row>
    <row r="24" ht="52" spans="1:10">
      <c r="A24" s="10">
        <v>23</v>
      </c>
      <c r="B24" s="10" t="s">
        <v>52</v>
      </c>
      <c r="C24" s="87">
        <v>5228</v>
      </c>
      <c r="D24" s="87" t="s">
        <v>11</v>
      </c>
      <c r="E24" s="87" t="s">
        <v>19</v>
      </c>
      <c r="F24" s="87" t="s">
        <v>12</v>
      </c>
      <c r="G24" s="256" t="s">
        <v>20</v>
      </c>
      <c r="H24" s="87">
        <f>VLOOKUP(_xlfn.CONCAT(D24,G24),'Estimation Guidelines'!C:L,10,FALSE)</f>
        <v>8.6</v>
      </c>
      <c r="I24" s="87" t="s">
        <v>21</v>
      </c>
      <c r="J24" s="87" t="s">
        <v>53</v>
      </c>
    </row>
    <row r="25" ht="17.45" customHeight="1" spans="1:10">
      <c r="A25" s="10">
        <v>24</v>
      </c>
      <c r="B25" s="10" t="s">
        <v>54</v>
      </c>
      <c r="C25" s="87">
        <v>12829</v>
      </c>
      <c r="D25" s="87" t="s">
        <v>11</v>
      </c>
      <c r="E25" s="87" t="s">
        <v>19</v>
      </c>
      <c r="F25" s="87" t="s">
        <v>12</v>
      </c>
      <c r="G25" s="256" t="s">
        <v>20</v>
      </c>
      <c r="H25" s="87">
        <f>VLOOKUP(_xlfn.CONCAT(D25,G25),'Estimation Guidelines'!C:L,10,FALSE)</f>
        <v>8.6</v>
      </c>
      <c r="I25" s="87" t="s">
        <v>55</v>
      </c>
      <c r="J25" s="87" t="s">
        <v>56</v>
      </c>
    </row>
    <row r="26" ht="17.25" customHeight="1" spans="1:10">
      <c r="A26" s="10">
        <v>25</v>
      </c>
      <c r="B26" s="10" t="s">
        <v>57</v>
      </c>
      <c r="C26" s="87"/>
      <c r="D26" s="87" t="s">
        <v>11</v>
      </c>
      <c r="E26" s="87" t="s">
        <v>19</v>
      </c>
      <c r="F26" s="87" t="s">
        <v>12</v>
      </c>
      <c r="G26" s="256" t="s">
        <v>20</v>
      </c>
      <c r="H26" s="87">
        <f>VLOOKUP(_xlfn.CONCAT(D26,G26),'Estimation Guidelines'!C:L,10,FALSE)</f>
        <v>8.6</v>
      </c>
      <c r="I26" s="87" t="s">
        <v>55</v>
      </c>
      <c r="J26" s="87" t="s">
        <v>58</v>
      </c>
    </row>
    <row r="27" hidden="1" spans="1:10">
      <c r="A27" s="10">
        <v>26</v>
      </c>
      <c r="B27" s="10" t="s">
        <v>59</v>
      </c>
      <c r="C27" s="87">
        <v>48701</v>
      </c>
      <c r="D27" s="87" t="s">
        <v>11</v>
      </c>
      <c r="E27" s="87" t="s">
        <v>12</v>
      </c>
      <c r="F27" s="87" t="s">
        <v>12</v>
      </c>
      <c r="G27" s="87" t="s">
        <v>20</v>
      </c>
      <c r="H27" s="87"/>
      <c r="I27" s="87" t="s">
        <v>14</v>
      </c>
      <c r="J27" s="107"/>
    </row>
    <row r="28" hidden="1" spans="1:10">
      <c r="A28" s="10">
        <v>27</v>
      </c>
      <c r="B28" s="10" t="s">
        <v>60</v>
      </c>
      <c r="C28" s="87">
        <v>5310</v>
      </c>
      <c r="D28" s="87" t="s">
        <v>11</v>
      </c>
      <c r="E28" s="87" t="s">
        <v>12</v>
      </c>
      <c r="F28" s="87" t="s">
        <v>12</v>
      </c>
      <c r="G28" s="87" t="s">
        <v>20</v>
      </c>
      <c r="H28" s="87"/>
      <c r="I28" s="87" t="s">
        <v>14</v>
      </c>
      <c r="J28" s="87"/>
    </row>
    <row r="29" ht="26" hidden="1" spans="1:10">
      <c r="A29" s="10">
        <v>28</v>
      </c>
      <c r="B29" s="10" t="s">
        <v>61</v>
      </c>
      <c r="C29" s="87">
        <v>53182</v>
      </c>
      <c r="D29" s="87" t="s">
        <v>11</v>
      </c>
      <c r="E29" s="87" t="s">
        <v>12</v>
      </c>
      <c r="F29" s="87" t="s">
        <v>12</v>
      </c>
      <c r="G29" s="87" t="s">
        <v>16</v>
      </c>
      <c r="H29" s="87"/>
      <c r="I29" s="87" t="s">
        <v>62</v>
      </c>
      <c r="J29" s="87"/>
    </row>
    <row r="30" hidden="1" spans="1:10">
      <c r="A30" s="10">
        <v>29</v>
      </c>
      <c r="B30" s="10" t="s">
        <v>63</v>
      </c>
      <c r="C30" s="87"/>
      <c r="D30" s="87" t="s">
        <v>11</v>
      </c>
      <c r="E30" s="87" t="s">
        <v>12</v>
      </c>
      <c r="F30" s="87" t="s">
        <v>12</v>
      </c>
      <c r="G30" s="87" t="s">
        <v>16</v>
      </c>
      <c r="H30" s="87"/>
      <c r="I30" s="87" t="s">
        <v>62</v>
      </c>
      <c r="J30" s="87"/>
    </row>
    <row r="31" hidden="1" spans="1:10">
      <c r="A31" s="10">
        <v>30</v>
      </c>
      <c r="B31" s="10" t="s">
        <v>64</v>
      </c>
      <c r="C31" s="87"/>
      <c r="D31" s="87" t="s">
        <v>11</v>
      </c>
      <c r="E31" s="87" t="s">
        <v>12</v>
      </c>
      <c r="F31" s="87" t="s">
        <v>12</v>
      </c>
      <c r="G31" s="87" t="s">
        <v>16</v>
      </c>
      <c r="H31" s="87"/>
      <c r="I31" s="87" t="s">
        <v>62</v>
      </c>
      <c r="J31" s="87"/>
    </row>
    <row r="32" hidden="1" spans="1:10">
      <c r="A32" s="10">
        <v>31</v>
      </c>
      <c r="B32" s="10" t="s">
        <v>65</v>
      </c>
      <c r="C32" s="87"/>
      <c r="D32" s="87" t="s">
        <v>11</v>
      </c>
      <c r="E32" s="87" t="s">
        <v>12</v>
      </c>
      <c r="F32" s="87" t="s">
        <v>12</v>
      </c>
      <c r="G32" s="87" t="s">
        <v>20</v>
      </c>
      <c r="H32" s="87"/>
      <c r="I32" s="87" t="s">
        <v>62</v>
      </c>
      <c r="J32" s="87"/>
    </row>
    <row r="33" hidden="1" spans="1:10">
      <c r="A33" s="10">
        <v>32</v>
      </c>
      <c r="B33" s="10" t="s">
        <v>66</v>
      </c>
      <c r="C33" s="87">
        <v>6316</v>
      </c>
      <c r="D33" s="87" t="s">
        <v>11</v>
      </c>
      <c r="E33" s="87" t="s">
        <v>12</v>
      </c>
      <c r="F33" s="87" t="s">
        <v>12</v>
      </c>
      <c r="G33" s="87" t="s">
        <v>13</v>
      </c>
      <c r="H33" s="87"/>
      <c r="I33" s="87" t="s">
        <v>62</v>
      </c>
      <c r="J33" s="135"/>
    </row>
    <row r="34" spans="1:10">
      <c r="A34" s="10">
        <v>33</v>
      </c>
      <c r="B34" s="10" t="s">
        <v>67</v>
      </c>
      <c r="C34" s="87">
        <v>111114</v>
      </c>
      <c r="D34" s="87" t="s">
        <v>34</v>
      </c>
      <c r="E34" s="87" t="s">
        <v>19</v>
      </c>
      <c r="F34" s="87" t="s">
        <v>12</v>
      </c>
      <c r="G34" s="256" t="s">
        <v>20</v>
      </c>
      <c r="H34" s="87">
        <f>VLOOKUP(_xlfn.CONCAT(D34,G34),'Estimation Guidelines'!C:L,10,FALSE)</f>
        <v>11.6</v>
      </c>
      <c r="I34" s="87" t="s">
        <v>35</v>
      </c>
      <c r="J34" s="87" t="s">
        <v>42</v>
      </c>
    </row>
    <row r="35" spans="1:10">
      <c r="A35" s="10">
        <v>34</v>
      </c>
      <c r="B35" s="258" t="s">
        <v>68</v>
      </c>
      <c r="C35" s="259">
        <v>1639</v>
      </c>
      <c r="D35" s="87" t="s">
        <v>11</v>
      </c>
      <c r="E35" s="87" t="s">
        <v>19</v>
      </c>
      <c r="F35" s="87" t="s">
        <v>12</v>
      </c>
      <c r="G35" s="87" t="s">
        <v>13</v>
      </c>
      <c r="H35" s="87">
        <f>VLOOKUP(_xlfn.CONCAT(D35,G35),'Estimation Guidelines'!C:L,10,FALSE)</f>
        <v>5.8</v>
      </c>
      <c r="I35" s="87" t="s">
        <v>21</v>
      </c>
      <c r="J35" s="87" t="s">
        <v>69</v>
      </c>
    </row>
    <row r="36" spans="1:10">
      <c r="A36" s="10">
        <v>35</v>
      </c>
      <c r="B36" s="258" t="s">
        <v>70</v>
      </c>
      <c r="C36" s="130">
        <v>2025</v>
      </c>
      <c r="D36" s="87" t="s">
        <v>11</v>
      </c>
      <c r="E36" s="87" t="s">
        <v>19</v>
      </c>
      <c r="F36" s="87" t="s">
        <v>12</v>
      </c>
      <c r="G36" s="87" t="s">
        <v>13</v>
      </c>
      <c r="H36" s="87">
        <f>VLOOKUP(_xlfn.CONCAT(D36,G36),'Estimation Guidelines'!C:L,10,FALSE)</f>
        <v>5.8</v>
      </c>
      <c r="I36" s="87" t="s">
        <v>21</v>
      </c>
      <c r="J36" s="87" t="s">
        <v>71</v>
      </c>
    </row>
    <row r="37" spans="1:10">
      <c r="A37" s="10">
        <v>36</v>
      </c>
      <c r="B37" s="258" t="s">
        <v>72</v>
      </c>
      <c r="C37" s="130">
        <v>2013</v>
      </c>
      <c r="D37" s="87" t="s">
        <v>11</v>
      </c>
      <c r="E37" s="87" t="s">
        <v>19</v>
      </c>
      <c r="F37" s="87" t="s">
        <v>12</v>
      </c>
      <c r="G37" s="87" t="s">
        <v>20</v>
      </c>
      <c r="H37" s="87">
        <f>VLOOKUP(_xlfn.CONCAT(D37,G37),'Estimation Guidelines'!C:L,10,FALSE)</f>
        <v>8.6</v>
      </c>
      <c r="I37" s="87" t="s">
        <v>21</v>
      </c>
      <c r="J37" s="87" t="s">
        <v>73</v>
      </c>
    </row>
    <row r="38" spans="1:10">
      <c r="A38" s="10">
        <v>37</v>
      </c>
      <c r="B38" s="258" t="s">
        <v>74</v>
      </c>
      <c r="C38" s="130">
        <v>1931</v>
      </c>
      <c r="D38" s="87" t="s">
        <v>11</v>
      </c>
      <c r="E38" s="87" t="s">
        <v>19</v>
      </c>
      <c r="F38" s="87" t="s">
        <v>12</v>
      </c>
      <c r="G38" s="87" t="s">
        <v>20</v>
      </c>
      <c r="H38" s="87">
        <f>VLOOKUP(_xlfn.CONCAT(D38,G38),'Estimation Guidelines'!C:L,10,FALSE)</f>
        <v>8.6</v>
      </c>
      <c r="I38" s="87" t="s">
        <v>21</v>
      </c>
      <c r="J38" s="87" t="s">
        <v>75</v>
      </c>
    </row>
    <row r="39" spans="1:10">
      <c r="A39" s="10">
        <v>38</v>
      </c>
      <c r="B39" s="258" t="s">
        <v>76</v>
      </c>
      <c r="C39" s="130">
        <v>10287</v>
      </c>
      <c r="D39" s="87" t="s">
        <v>11</v>
      </c>
      <c r="E39" s="87" t="s">
        <v>19</v>
      </c>
      <c r="F39" s="87" t="s">
        <v>12</v>
      </c>
      <c r="G39" s="87" t="s">
        <v>16</v>
      </c>
      <c r="H39" s="87">
        <f>VLOOKUP(_xlfn.CONCAT(D39,G39),'Estimation Guidelines'!C:L,10,FALSE)</f>
        <v>4.8</v>
      </c>
      <c r="I39" s="87" t="s">
        <v>21</v>
      </c>
      <c r="J39" s="261">
        <v>45992</v>
      </c>
    </row>
    <row r="40" spans="1:10">
      <c r="A40" s="10">
        <v>39</v>
      </c>
      <c r="B40" s="258" t="s">
        <v>77</v>
      </c>
      <c r="C40" s="130">
        <v>1926</v>
      </c>
      <c r="D40" s="87" t="s">
        <v>11</v>
      </c>
      <c r="E40" s="87" t="s">
        <v>19</v>
      </c>
      <c r="F40" s="87" t="s">
        <v>12</v>
      </c>
      <c r="G40" s="87" t="s">
        <v>13</v>
      </c>
      <c r="H40" s="87">
        <f>VLOOKUP(_xlfn.CONCAT(D40,G40),'Estimation Guidelines'!C:L,10,FALSE)</f>
        <v>5.8</v>
      </c>
      <c r="I40" s="87" t="s">
        <v>21</v>
      </c>
      <c r="J40" s="87" t="s">
        <v>78</v>
      </c>
    </row>
    <row r="41" spans="1:10">
      <c r="A41" s="10">
        <v>40</v>
      </c>
      <c r="B41" s="258" t="s">
        <v>79</v>
      </c>
      <c r="C41" s="130">
        <v>4037</v>
      </c>
      <c r="D41" s="87" t="s">
        <v>11</v>
      </c>
      <c r="E41" s="87" t="s">
        <v>19</v>
      </c>
      <c r="F41" s="87" t="s">
        <v>12</v>
      </c>
      <c r="G41" s="87" t="s">
        <v>13</v>
      </c>
      <c r="H41" s="87">
        <f>VLOOKUP(_xlfn.CONCAT(D41,G41),'Estimation Guidelines'!C:L,10,FALSE)</f>
        <v>5.8</v>
      </c>
      <c r="I41" s="87" t="s">
        <v>21</v>
      </c>
      <c r="J41" s="87" t="s">
        <v>80</v>
      </c>
    </row>
    <row r="42" spans="1:10">
      <c r="A42" s="10">
        <v>41</v>
      </c>
      <c r="B42" s="258" t="s">
        <v>81</v>
      </c>
      <c r="C42" s="130">
        <v>45835</v>
      </c>
      <c r="D42" s="87" t="s">
        <v>11</v>
      </c>
      <c r="E42" s="87" t="s">
        <v>19</v>
      </c>
      <c r="F42" s="87" t="s">
        <v>12</v>
      </c>
      <c r="G42" s="87" t="s">
        <v>13</v>
      </c>
      <c r="H42" s="87">
        <f>VLOOKUP(_xlfn.CONCAT(D42,G42),'Estimation Guidelines'!C:L,10,FALSE)</f>
        <v>5.8</v>
      </c>
      <c r="I42" s="87"/>
      <c r="J42" s="87"/>
    </row>
    <row r="43" spans="1:10">
      <c r="A43" s="10">
        <v>42</v>
      </c>
      <c r="B43" s="258" t="s">
        <v>82</v>
      </c>
      <c r="C43" s="130">
        <v>4381</v>
      </c>
      <c r="D43" s="87" t="s">
        <v>11</v>
      </c>
      <c r="E43" s="87" t="s">
        <v>19</v>
      </c>
      <c r="F43" s="87" t="s">
        <v>12</v>
      </c>
      <c r="G43" s="87" t="s">
        <v>13</v>
      </c>
      <c r="H43" s="87">
        <f>VLOOKUP(_xlfn.CONCAT(D43,G43),'Estimation Guidelines'!C:L,10,FALSE)</f>
        <v>5.8</v>
      </c>
      <c r="I43" s="87"/>
      <c r="J43" s="87"/>
    </row>
    <row r="44" spans="1:10">
      <c r="A44" s="10">
        <v>43</v>
      </c>
      <c r="B44" s="258" t="s">
        <v>83</v>
      </c>
      <c r="C44" s="130">
        <v>7125</v>
      </c>
      <c r="D44" s="87" t="s">
        <v>11</v>
      </c>
      <c r="E44" s="87" t="s">
        <v>19</v>
      </c>
      <c r="F44" s="87" t="s">
        <v>12</v>
      </c>
      <c r="G44" s="87" t="s">
        <v>13</v>
      </c>
      <c r="H44" s="87">
        <f>VLOOKUP(_xlfn.CONCAT(D44,G44),'Estimation Guidelines'!C:L,10,FALSE)</f>
        <v>5.8</v>
      </c>
      <c r="I44" s="87"/>
      <c r="J44" s="87"/>
    </row>
    <row r="45" spans="1:10">
      <c r="A45" s="10">
        <v>44</v>
      </c>
      <c r="B45" s="258" t="s">
        <v>84</v>
      </c>
      <c r="C45" s="130">
        <v>2192</v>
      </c>
      <c r="D45" s="87" t="s">
        <v>11</v>
      </c>
      <c r="E45" s="87" t="s">
        <v>19</v>
      </c>
      <c r="F45" s="87" t="s">
        <v>12</v>
      </c>
      <c r="G45" s="87" t="s">
        <v>20</v>
      </c>
      <c r="H45" s="87">
        <f>VLOOKUP(_xlfn.CONCAT(D45,G45),'Estimation Guidelines'!C:L,10,FALSE)</f>
        <v>8.6</v>
      </c>
      <c r="I45" s="87"/>
      <c r="J45" s="87"/>
    </row>
    <row r="46" spans="1:10">
      <c r="A46" s="10">
        <v>45</v>
      </c>
      <c r="B46" s="258" t="s">
        <v>85</v>
      </c>
      <c r="C46" s="130">
        <v>2676</v>
      </c>
      <c r="D46" s="87" t="s">
        <v>11</v>
      </c>
      <c r="E46" s="87" t="s">
        <v>19</v>
      </c>
      <c r="F46" s="87" t="s">
        <v>12</v>
      </c>
      <c r="G46" s="87" t="s">
        <v>20</v>
      </c>
      <c r="H46" s="87">
        <f>VLOOKUP(_xlfn.CONCAT(D46,G46),'Estimation Guidelines'!C:L,10,FALSE)</f>
        <v>8.6</v>
      </c>
      <c r="I46" s="87"/>
      <c r="J46" s="87"/>
    </row>
    <row r="47" spans="1:10">
      <c r="A47" s="10">
        <v>46</v>
      </c>
      <c r="B47" s="258" t="s">
        <v>86</v>
      </c>
      <c r="C47" s="130">
        <v>9247</v>
      </c>
      <c r="D47" s="87" t="s">
        <v>11</v>
      </c>
      <c r="E47" s="87" t="s">
        <v>19</v>
      </c>
      <c r="F47" s="87" t="s">
        <v>12</v>
      </c>
      <c r="G47" s="87" t="s">
        <v>13</v>
      </c>
      <c r="H47" s="87">
        <f>VLOOKUP(_xlfn.CONCAT(D47,G47),'Estimation Guidelines'!C:L,10,FALSE)</f>
        <v>5.8</v>
      </c>
      <c r="I47" s="87"/>
      <c r="J47" s="87"/>
    </row>
  </sheetData>
  <autoFilter xmlns:etc="http://www.wps.cn/officeDocument/2017/etCustomData" ref="A1:J47" etc:filterBottomFollowUsedRange="0">
    <filterColumn colId="4">
      <customFilters>
        <customFilter operator="equal" val="N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K48"/>
  <sheetViews>
    <sheetView zoomScale="110" zoomScaleNormal="110" workbookViewId="0">
      <pane xSplit="2" ySplit="2" topLeftCell="C3" activePane="bottomRight" state="frozen"/>
      <selection/>
      <selection pane="topRight"/>
      <selection pane="bottomLeft"/>
      <selection pane="bottomRight" activeCell="B1" sqref="B1:AK33"/>
    </sheetView>
  </sheetViews>
  <sheetFormatPr defaultColWidth="24.1363636363636" defaultRowHeight="13"/>
  <cols>
    <col min="1" max="1" width="14.4272727272727" style="82" hidden="1" customWidth="1"/>
    <col min="2" max="2" width="55.4272727272727" style="96" customWidth="1"/>
    <col min="3" max="3" width="10.1363636363636" style="82" customWidth="1"/>
    <col min="4" max="4" width="13.5727272727273" style="82" customWidth="1"/>
    <col min="5" max="9" width="24.1363636363636" style="82" hidden="1" customWidth="1"/>
    <col min="10" max="10" width="22.8545454545455" style="82" hidden="1" customWidth="1"/>
    <col min="11" max="11" width="11.5727272727273" style="82" hidden="1" customWidth="1"/>
    <col min="12" max="37" width="3.42727272727273" style="82" customWidth="1"/>
    <col min="38" max="68" width="4.57272727272727" style="82" customWidth="1"/>
    <col min="69" max="16384" width="24.1363636363636" style="82"/>
  </cols>
  <sheetData>
    <row r="1" spans="2:37">
      <c r="B1" s="98" t="s">
        <v>87</v>
      </c>
      <c r="C1" s="98"/>
      <c r="D1" s="98"/>
      <c r="E1" s="98"/>
      <c r="F1" s="98"/>
      <c r="G1" s="98"/>
      <c r="H1" s="98"/>
      <c r="I1" s="98"/>
      <c r="J1" s="98"/>
      <c r="K1" s="98"/>
      <c r="L1" s="98">
        <v>2024</v>
      </c>
      <c r="M1" s="98"/>
      <c r="N1" s="98"/>
      <c r="O1" s="98"/>
      <c r="P1" s="98"/>
      <c r="Q1" s="98"/>
      <c r="R1" s="98"/>
      <c r="S1" s="98"/>
      <c r="T1" s="98"/>
      <c r="U1" s="98">
        <v>2025</v>
      </c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>
        <v>2026</v>
      </c>
      <c r="AH1" s="98"/>
      <c r="AI1" s="98"/>
      <c r="AJ1" s="98"/>
      <c r="AK1" s="98"/>
    </row>
    <row r="2" spans="1:37">
      <c r="A2" s="99" t="s">
        <v>0</v>
      </c>
      <c r="B2" s="100" t="s">
        <v>1</v>
      </c>
      <c r="C2" s="100" t="s">
        <v>2</v>
      </c>
      <c r="D2" s="100" t="s">
        <v>3</v>
      </c>
      <c r="E2" s="100" t="s">
        <v>4</v>
      </c>
      <c r="F2" s="100" t="s">
        <v>5</v>
      </c>
      <c r="G2" s="100" t="s">
        <v>6</v>
      </c>
      <c r="H2" s="100" t="s">
        <v>7</v>
      </c>
      <c r="I2" s="100" t="s">
        <v>8</v>
      </c>
      <c r="J2" s="100" t="s">
        <v>9</v>
      </c>
      <c r="K2" s="100" t="s">
        <v>88</v>
      </c>
      <c r="L2" s="100" t="s">
        <v>89</v>
      </c>
      <c r="M2" s="100" t="s">
        <v>26</v>
      </c>
      <c r="N2" s="100" t="s">
        <v>90</v>
      </c>
      <c r="O2" s="100" t="s">
        <v>91</v>
      </c>
      <c r="P2" s="100" t="s">
        <v>92</v>
      </c>
      <c r="Q2" s="100" t="s">
        <v>93</v>
      </c>
      <c r="R2" s="100" t="s">
        <v>94</v>
      </c>
      <c r="S2" s="100" t="s">
        <v>95</v>
      </c>
      <c r="T2" s="100" t="s">
        <v>96</v>
      </c>
      <c r="U2" s="100" t="s">
        <v>97</v>
      </c>
      <c r="V2" s="100" t="s">
        <v>98</v>
      </c>
      <c r="W2" s="100" t="s">
        <v>99</v>
      </c>
      <c r="X2" s="100" t="s">
        <v>89</v>
      </c>
      <c r="Y2" s="100" t="s">
        <v>26</v>
      </c>
      <c r="Z2" s="100" t="s">
        <v>90</v>
      </c>
      <c r="AA2" s="100" t="s">
        <v>91</v>
      </c>
      <c r="AB2" s="100" t="s">
        <v>92</v>
      </c>
      <c r="AC2" s="100" t="s">
        <v>93</v>
      </c>
      <c r="AD2" s="100" t="s">
        <v>94</v>
      </c>
      <c r="AE2" s="100" t="s">
        <v>95</v>
      </c>
      <c r="AF2" s="100" t="s">
        <v>96</v>
      </c>
      <c r="AG2" s="100" t="s">
        <v>97</v>
      </c>
      <c r="AH2" s="100" t="s">
        <v>98</v>
      </c>
      <c r="AI2" s="100" t="s">
        <v>99</v>
      </c>
      <c r="AJ2" s="100" t="s">
        <v>89</v>
      </c>
      <c r="AK2" s="100" t="s">
        <v>26</v>
      </c>
    </row>
    <row r="3" spans="1:37">
      <c r="A3" s="87">
        <v>4</v>
      </c>
      <c r="B3" s="101" t="s">
        <v>18</v>
      </c>
      <c r="C3" s="102">
        <v>7168</v>
      </c>
      <c r="D3" s="102" t="s">
        <v>11</v>
      </c>
      <c r="E3" s="102" t="s">
        <v>19</v>
      </c>
      <c r="F3" s="102" t="s">
        <v>12</v>
      </c>
      <c r="G3" s="102" t="s">
        <v>20</v>
      </c>
      <c r="H3" s="102">
        <f>VLOOKUP(_xlfn.CONCAT(D3,G3),'Estimation Guidelines'!C:L,10,FALSE)</f>
        <v>8.6</v>
      </c>
      <c r="I3" s="102" t="s">
        <v>21</v>
      </c>
      <c r="J3" s="102" t="s">
        <v>22</v>
      </c>
      <c r="K3" s="102">
        <v>202403</v>
      </c>
      <c r="L3" s="121">
        <v>1</v>
      </c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</row>
    <row r="4" spans="1:37">
      <c r="A4" s="87">
        <v>20</v>
      </c>
      <c r="B4" s="101" t="s">
        <v>48</v>
      </c>
      <c r="C4" s="102">
        <v>9845</v>
      </c>
      <c r="D4" s="102" t="s">
        <v>34</v>
      </c>
      <c r="E4" s="102" t="s">
        <v>19</v>
      </c>
      <c r="F4" s="102" t="s">
        <v>12</v>
      </c>
      <c r="G4" s="116" t="s">
        <v>20</v>
      </c>
      <c r="H4" s="102">
        <f>VLOOKUP(_xlfn.CONCAT(D4,G4),'Estimation Guidelines'!C:L,10,FALSE)</f>
        <v>11.6</v>
      </c>
      <c r="I4" s="102" t="s">
        <v>35</v>
      </c>
      <c r="J4" s="102" t="s">
        <v>44</v>
      </c>
      <c r="K4" s="102">
        <v>202404</v>
      </c>
      <c r="L4" s="121">
        <v>1</v>
      </c>
      <c r="M4" s="121">
        <v>1</v>
      </c>
      <c r="N4" s="121">
        <v>1</v>
      </c>
      <c r="O4" s="121">
        <v>1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</row>
    <row r="5" spans="1:37">
      <c r="A5" s="87">
        <v>17</v>
      </c>
      <c r="B5" s="101" t="s">
        <v>43</v>
      </c>
      <c r="C5" s="102">
        <v>3695</v>
      </c>
      <c r="D5" s="102" t="s">
        <v>34</v>
      </c>
      <c r="E5" s="102" t="s">
        <v>19</v>
      </c>
      <c r="F5" s="102" t="s">
        <v>12</v>
      </c>
      <c r="G5" s="116" t="s">
        <v>13</v>
      </c>
      <c r="H5" s="102">
        <f>VLOOKUP(_xlfn.CONCAT(D5,G5),'Estimation Guidelines'!C:L,10,FALSE)</f>
        <v>8.8</v>
      </c>
      <c r="I5" s="102" t="s">
        <v>35</v>
      </c>
      <c r="J5" s="102" t="s">
        <v>44</v>
      </c>
      <c r="K5" s="102">
        <v>202404</v>
      </c>
      <c r="L5" s="121">
        <v>1</v>
      </c>
      <c r="M5" s="121">
        <v>1</v>
      </c>
      <c r="N5" s="121">
        <v>1</v>
      </c>
      <c r="O5" s="121">
        <v>1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</row>
    <row r="6" spans="1:37">
      <c r="A6" s="87">
        <v>19</v>
      </c>
      <c r="B6" s="101" t="s">
        <v>46</v>
      </c>
      <c r="C6" s="102">
        <v>2981</v>
      </c>
      <c r="D6" s="102" t="s">
        <v>34</v>
      </c>
      <c r="E6" s="102" t="s">
        <v>19</v>
      </c>
      <c r="F6" s="102" t="s">
        <v>12</v>
      </c>
      <c r="G6" s="116" t="s">
        <v>20</v>
      </c>
      <c r="H6" s="102">
        <f>VLOOKUP(_xlfn.CONCAT(D6,G6),'Estimation Guidelines'!C:L,10,FALSE)</f>
        <v>11.6</v>
      </c>
      <c r="I6" s="102" t="s">
        <v>35</v>
      </c>
      <c r="J6" s="102" t="s">
        <v>47</v>
      </c>
      <c r="K6" s="102">
        <v>202404</v>
      </c>
      <c r="L6" s="121">
        <v>1</v>
      </c>
      <c r="M6" s="121">
        <v>1</v>
      </c>
      <c r="N6" s="121">
        <v>1</v>
      </c>
      <c r="O6" s="121">
        <v>1</v>
      </c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</row>
    <row r="7" spans="1:37">
      <c r="A7" s="87">
        <v>24</v>
      </c>
      <c r="B7" s="101" t="s">
        <v>54</v>
      </c>
      <c r="C7" s="102">
        <v>12829</v>
      </c>
      <c r="D7" s="102" t="s">
        <v>11</v>
      </c>
      <c r="E7" s="102" t="s">
        <v>19</v>
      </c>
      <c r="F7" s="102" t="s">
        <v>12</v>
      </c>
      <c r="G7" s="116" t="s">
        <v>20</v>
      </c>
      <c r="H7" s="102">
        <f>VLOOKUP(_xlfn.CONCAT(D7,G7),'Estimation Guidelines'!C:L,10,FALSE)</f>
        <v>8.6</v>
      </c>
      <c r="I7" s="102" t="s">
        <v>55</v>
      </c>
      <c r="J7" s="102" t="s">
        <v>56</v>
      </c>
      <c r="K7" s="102">
        <v>202404</v>
      </c>
      <c r="L7" s="121">
        <v>1</v>
      </c>
      <c r="M7" s="121">
        <v>1</v>
      </c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</row>
    <row r="8" spans="1:37">
      <c r="A8" s="87">
        <v>38</v>
      </c>
      <c r="B8" s="101" t="s">
        <v>76</v>
      </c>
      <c r="C8" s="104">
        <v>10287</v>
      </c>
      <c r="D8" s="102" t="s">
        <v>11</v>
      </c>
      <c r="E8" s="102" t="s">
        <v>19</v>
      </c>
      <c r="F8" s="102" t="s">
        <v>12</v>
      </c>
      <c r="G8" s="102" t="s">
        <v>16</v>
      </c>
      <c r="H8" s="102">
        <f>VLOOKUP(_xlfn.CONCAT(D8,G8),'Estimation Guidelines'!C:L,10,FALSE)</f>
        <v>4.8</v>
      </c>
      <c r="I8" s="102" t="s">
        <v>21</v>
      </c>
      <c r="J8" s="102" t="s">
        <v>26</v>
      </c>
      <c r="K8" s="102">
        <v>202405</v>
      </c>
      <c r="L8" s="122"/>
      <c r="M8" s="121">
        <v>1</v>
      </c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87"/>
      <c r="AB8" s="122"/>
      <c r="AC8" s="122"/>
      <c r="AD8" s="122"/>
      <c r="AE8" s="122"/>
      <c r="AF8" s="122"/>
      <c r="AG8" s="122"/>
      <c r="AH8" s="122"/>
      <c r="AI8" s="122"/>
      <c r="AJ8" s="122"/>
      <c r="AK8" s="122"/>
    </row>
    <row r="9" spans="1:37">
      <c r="A9" s="87">
        <v>41</v>
      </c>
      <c r="B9" s="101" t="s">
        <v>81</v>
      </c>
      <c r="C9" s="104">
        <v>45835</v>
      </c>
      <c r="D9" s="102" t="s">
        <v>11</v>
      </c>
      <c r="E9" s="102" t="s">
        <v>19</v>
      </c>
      <c r="F9" s="102" t="s">
        <v>12</v>
      </c>
      <c r="G9" s="102" t="s">
        <v>13</v>
      </c>
      <c r="H9" s="102">
        <f>VLOOKUP(_xlfn.CONCAT(D9,G9),'Estimation Guidelines'!C:L,10,FALSE)</f>
        <v>5.8</v>
      </c>
      <c r="I9" s="102" t="s">
        <v>21</v>
      </c>
      <c r="J9" s="102" t="s">
        <v>28</v>
      </c>
      <c r="K9" s="102">
        <v>202406</v>
      </c>
      <c r="L9" s="122"/>
      <c r="M9" s="122"/>
      <c r="N9" s="121">
        <v>1</v>
      </c>
      <c r="O9" s="121">
        <v>1</v>
      </c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87"/>
      <c r="AF9" s="87"/>
      <c r="AG9" s="122"/>
      <c r="AH9" s="122"/>
      <c r="AI9" s="122"/>
      <c r="AJ9" s="122"/>
      <c r="AK9" s="122"/>
    </row>
    <row r="10" spans="1:37">
      <c r="A10" s="87">
        <v>25</v>
      </c>
      <c r="B10" s="101" t="s">
        <v>57</v>
      </c>
      <c r="C10" s="102"/>
      <c r="D10" s="102" t="s">
        <v>11</v>
      </c>
      <c r="E10" s="102" t="s">
        <v>19</v>
      </c>
      <c r="F10" s="102" t="s">
        <v>12</v>
      </c>
      <c r="G10" s="116" t="s">
        <v>20</v>
      </c>
      <c r="H10" s="102">
        <f>VLOOKUP(_xlfn.CONCAT(D10,G10),'Estimation Guidelines'!C:L,10,FALSE)</f>
        <v>8.6</v>
      </c>
      <c r="I10" s="102" t="s">
        <v>55</v>
      </c>
      <c r="J10" s="102" t="s">
        <v>58</v>
      </c>
      <c r="K10" s="102">
        <v>202406</v>
      </c>
      <c r="L10" s="122"/>
      <c r="M10" s="122"/>
      <c r="N10" s="121">
        <v>1</v>
      </c>
      <c r="O10" s="121">
        <v>1</v>
      </c>
      <c r="P10" s="121">
        <v>1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</row>
    <row r="11" spans="1:37">
      <c r="A11" s="87">
        <v>33</v>
      </c>
      <c r="B11" s="101" t="s">
        <v>67</v>
      </c>
      <c r="C11" s="102">
        <v>111114</v>
      </c>
      <c r="D11" s="102" t="s">
        <v>34</v>
      </c>
      <c r="E11" s="102" t="s">
        <v>19</v>
      </c>
      <c r="F11" s="102" t="s">
        <v>12</v>
      </c>
      <c r="G11" s="116" t="s">
        <v>20</v>
      </c>
      <c r="H11" s="102">
        <f>VLOOKUP(_xlfn.CONCAT(D11,G11),'Estimation Guidelines'!C:L,10,FALSE)</f>
        <v>11.6</v>
      </c>
      <c r="I11" s="102" t="s">
        <v>35</v>
      </c>
      <c r="J11" s="102" t="s">
        <v>42</v>
      </c>
      <c r="K11" s="102">
        <v>202408</v>
      </c>
      <c r="L11" s="122"/>
      <c r="M11" s="122"/>
      <c r="N11" s="122"/>
      <c r="O11" s="122"/>
      <c r="P11" s="121">
        <v>1</v>
      </c>
      <c r="Q11" s="121">
        <v>1</v>
      </c>
      <c r="R11" s="121">
        <v>1</v>
      </c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</row>
    <row r="12" spans="1:37">
      <c r="A12" s="87">
        <v>16</v>
      </c>
      <c r="B12" s="101" t="s">
        <v>41</v>
      </c>
      <c r="C12" s="102">
        <v>8925</v>
      </c>
      <c r="D12" s="102" t="s">
        <v>34</v>
      </c>
      <c r="E12" s="102" t="s">
        <v>19</v>
      </c>
      <c r="F12" s="102" t="s">
        <v>12</v>
      </c>
      <c r="G12" s="116" t="s">
        <v>20</v>
      </c>
      <c r="H12" s="102">
        <f>VLOOKUP(_xlfn.CONCAT(D12,G12),'Estimation Guidelines'!C:L,10,FALSE)</f>
        <v>11.6</v>
      </c>
      <c r="I12" s="102" t="s">
        <v>35</v>
      </c>
      <c r="J12" s="102" t="s">
        <v>42</v>
      </c>
      <c r="K12" s="102">
        <v>202408</v>
      </c>
      <c r="L12" s="122"/>
      <c r="M12" s="122"/>
      <c r="N12" s="122"/>
      <c r="O12" s="122"/>
      <c r="P12" s="121">
        <v>1</v>
      </c>
      <c r="Q12" s="121">
        <v>1</v>
      </c>
      <c r="R12" s="121">
        <v>1</v>
      </c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</row>
    <row r="13" spans="1:37">
      <c r="A13" s="87">
        <v>18</v>
      </c>
      <c r="B13" s="101" t="s">
        <v>45</v>
      </c>
      <c r="C13" s="102">
        <v>5854</v>
      </c>
      <c r="D13" s="102" t="s">
        <v>34</v>
      </c>
      <c r="E13" s="102" t="s">
        <v>19</v>
      </c>
      <c r="F13" s="102" t="s">
        <v>12</v>
      </c>
      <c r="G13" s="116" t="s">
        <v>20</v>
      </c>
      <c r="H13" s="102">
        <f>VLOOKUP(_xlfn.CONCAT(D13,G13),'Estimation Guidelines'!C:L,10,FALSE)</f>
        <v>11.6</v>
      </c>
      <c r="I13" s="102" t="s">
        <v>35</v>
      </c>
      <c r="J13" s="102" t="s">
        <v>42</v>
      </c>
      <c r="K13" s="102">
        <v>202408</v>
      </c>
      <c r="L13" s="122"/>
      <c r="M13" s="122"/>
      <c r="N13" s="122"/>
      <c r="O13" s="122"/>
      <c r="P13" s="121">
        <v>1</v>
      </c>
      <c r="Q13" s="121">
        <v>1</v>
      </c>
      <c r="R13" s="121">
        <v>1</v>
      </c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</row>
    <row r="14" spans="1:37">
      <c r="A14" s="87">
        <v>46</v>
      </c>
      <c r="B14" s="101" t="s">
        <v>86</v>
      </c>
      <c r="C14" s="104">
        <v>9247</v>
      </c>
      <c r="D14" s="102" t="s">
        <v>11</v>
      </c>
      <c r="E14" s="102" t="s">
        <v>19</v>
      </c>
      <c r="F14" s="102" t="s">
        <v>12</v>
      </c>
      <c r="G14" s="102" t="s">
        <v>13</v>
      </c>
      <c r="H14" s="102">
        <f>VLOOKUP(_xlfn.CONCAT(D14,G14),'Estimation Guidelines'!C:L,10,FALSE)</f>
        <v>5.8</v>
      </c>
      <c r="I14" s="102" t="s">
        <v>21</v>
      </c>
      <c r="J14" s="102" t="s">
        <v>31</v>
      </c>
      <c r="K14" s="102">
        <v>202408</v>
      </c>
      <c r="L14" s="122"/>
      <c r="M14" s="122"/>
      <c r="N14" s="122"/>
      <c r="O14" s="122"/>
      <c r="P14" s="121">
        <v>1</v>
      </c>
      <c r="Q14" s="121">
        <v>1</v>
      </c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87"/>
      <c r="AJ14" s="87"/>
      <c r="AK14" s="122"/>
    </row>
    <row r="15" spans="1:37">
      <c r="A15" s="87">
        <v>15</v>
      </c>
      <c r="B15" s="101" t="s">
        <v>39</v>
      </c>
      <c r="C15" s="102">
        <v>5337</v>
      </c>
      <c r="D15" s="102" t="s">
        <v>11</v>
      </c>
      <c r="E15" s="102" t="s">
        <v>19</v>
      </c>
      <c r="F15" s="102" t="s">
        <v>12</v>
      </c>
      <c r="G15" s="116" t="s">
        <v>20</v>
      </c>
      <c r="H15" s="102">
        <f>VLOOKUP(_xlfn.CONCAT(D15,G15),'Estimation Guidelines'!C:L,10,FALSE)</f>
        <v>8.6</v>
      </c>
      <c r="I15" s="102" t="s">
        <v>21</v>
      </c>
      <c r="J15" s="102" t="s">
        <v>40</v>
      </c>
      <c r="K15" s="102">
        <v>202410</v>
      </c>
      <c r="L15" s="122"/>
      <c r="M15" s="122"/>
      <c r="N15" s="122"/>
      <c r="O15" s="122"/>
      <c r="P15" s="122"/>
      <c r="Q15" s="122"/>
      <c r="R15" s="121">
        <v>1</v>
      </c>
      <c r="S15" s="121">
        <v>1</v>
      </c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</row>
    <row r="16" spans="1:37">
      <c r="A16" s="87">
        <v>13</v>
      </c>
      <c r="B16" s="101" t="s">
        <v>37</v>
      </c>
      <c r="C16" s="102">
        <v>14504</v>
      </c>
      <c r="D16" s="102" t="s">
        <v>34</v>
      </c>
      <c r="E16" s="102" t="s">
        <v>19</v>
      </c>
      <c r="F16" s="102" t="s">
        <v>12</v>
      </c>
      <c r="G16" s="116" t="s">
        <v>20</v>
      </c>
      <c r="H16" s="102">
        <f>VLOOKUP(_xlfn.CONCAT(D16,G16),'Estimation Guidelines'!C:L,10,FALSE)</f>
        <v>11.6</v>
      </c>
      <c r="I16" s="102" t="s">
        <v>35</v>
      </c>
      <c r="J16" s="102" t="s">
        <v>36</v>
      </c>
      <c r="K16" s="102">
        <v>202411</v>
      </c>
      <c r="L16" s="122"/>
      <c r="M16" s="122"/>
      <c r="N16" s="122"/>
      <c r="O16" s="122"/>
      <c r="P16" s="122"/>
      <c r="Q16" s="122"/>
      <c r="R16" s="122"/>
      <c r="S16" s="121">
        <v>1</v>
      </c>
      <c r="T16" s="121">
        <v>1</v>
      </c>
      <c r="U16" s="121">
        <v>1</v>
      </c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</row>
    <row r="17" spans="1:37">
      <c r="A17" s="87">
        <v>12</v>
      </c>
      <c r="B17" s="101" t="s">
        <v>33</v>
      </c>
      <c r="C17" s="102">
        <v>10119</v>
      </c>
      <c r="D17" s="102" t="s">
        <v>34</v>
      </c>
      <c r="E17" s="102" t="s">
        <v>19</v>
      </c>
      <c r="F17" s="102" t="s">
        <v>12</v>
      </c>
      <c r="G17" s="116" t="s">
        <v>20</v>
      </c>
      <c r="H17" s="102">
        <f>VLOOKUP(_xlfn.CONCAT(D17,G17),'Estimation Guidelines'!C:L,10,FALSE)</f>
        <v>11.6</v>
      </c>
      <c r="I17" s="102" t="s">
        <v>35</v>
      </c>
      <c r="J17" s="102" t="s">
        <v>36</v>
      </c>
      <c r="K17" s="102">
        <v>202411</v>
      </c>
      <c r="L17" s="122"/>
      <c r="M17" s="122"/>
      <c r="N17" s="122"/>
      <c r="O17" s="122"/>
      <c r="P17" s="122"/>
      <c r="Q17" s="122"/>
      <c r="R17" s="122"/>
      <c r="S17" s="121">
        <v>1</v>
      </c>
      <c r="T17" s="121">
        <v>1</v>
      </c>
      <c r="U17" s="121">
        <v>1</v>
      </c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</row>
    <row r="18" spans="1:37">
      <c r="A18" s="87">
        <v>14</v>
      </c>
      <c r="B18" s="101" t="s">
        <v>38</v>
      </c>
      <c r="C18" s="102">
        <v>7232</v>
      </c>
      <c r="D18" s="102" t="s">
        <v>34</v>
      </c>
      <c r="E18" s="102" t="s">
        <v>19</v>
      </c>
      <c r="F18" s="102" t="s">
        <v>12</v>
      </c>
      <c r="G18" s="116" t="s">
        <v>20</v>
      </c>
      <c r="H18" s="102">
        <f>VLOOKUP(_xlfn.CONCAT(D18,G18),'Estimation Guidelines'!C:L,10,FALSE)</f>
        <v>11.6</v>
      </c>
      <c r="I18" s="102" t="s">
        <v>35</v>
      </c>
      <c r="J18" s="102" t="s">
        <v>36</v>
      </c>
      <c r="K18" s="102">
        <v>202411</v>
      </c>
      <c r="L18" s="122"/>
      <c r="M18" s="122"/>
      <c r="N18" s="122"/>
      <c r="O18" s="122"/>
      <c r="P18" s="122"/>
      <c r="Q18" s="122"/>
      <c r="R18" s="122"/>
      <c r="S18" s="121">
        <v>1</v>
      </c>
      <c r="T18" s="121">
        <v>1</v>
      </c>
      <c r="U18" s="121">
        <v>1</v>
      </c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</row>
    <row r="19" spans="1:37">
      <c r="A19" s="87">
        <v>22</v>
      </c>
      <c r="B19" s="101" t="s">
        <v>50</v>
      </c>
      <c r="C19" s="102">
        <v>4243</v>
      </c>
      <c r="D19" s="102" t="s">
        <v>11</v>
      </c>
      <c r="E19" s="102" t="s">
        <v>19</v>
      </c>
      <c r="F19" s="102" t="s">
        <v>12</v>
      </c>
      <c r="G19" s="116" t="s">
        <v>20</v>
      </c>
      <c r="H19" s="102">
        <f>VLOOKUP(_xlfn.CONCAT(D19,G19),'Estimation Guidelines'!C:L,10,FALSE)</f>
        <v>8.6</v>
      </c>
      <c r="I19" s="102" t="s">
        <v>21</v>
      </c>
      <c r="J19" s="102" t="s">
        <v>51</v>
      </c>
      <c r="K19" s="102">
        <v>202412</v>
      </c>
      <c r="L19" s="122"/>
      <c r="M19" s="122"/>
      <c r="N19" s="122"/>
      <c r="O19" s="122"/>
      <c r="P19" s="122"/>
      <c r="Q19" s="122"/>
      <c r="R19" s="122"/>
      <c r="S19" s="122"/>
      <c r="T19" s="121">
        <v>1</v>
      </c>
      <c r="U19" s="121">
        <v>1</v>
      </c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</row>
    <row r="20" spans="1:37">
      <c r="A20" s="87">
        <v>23</v>
      </c>
      <c r="B20" s="101" t="s">
        <v>52</v>
      </c>
      <c r="C20" s="102">
        <v>5228</v>
      </c>
      <c r="D20" s="102" t="s">
        <v>11</v>
      </c>
      <c r="E20" s="102" t="s">
        <v>19</v>
      </c>
      <c r="F20" s="102" t="s">
        <v>12</v>
      </c>
      <c r="G20" s="116" t="s">
        <v>20</v>
      </c>
      <c r="H20" s="102">
        <f>VLOOKUP(_xlfn.CONCAT(D20,G20),'Estimation Guidelines'!C:L,10,FALSE)</f>
        <v>8.6</v>
      </c>
      <c r="I20" s="102" t="s">
        <v>100</v>
      </c>
      <c r="J20" s="102" t="s">
        <v>53</v>
      </c>
      <c r="K20" s="102">
        <v>202502</v>
      </c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1">
        <v>1</v>
      </c>
      <c r="W20" s="121">
        <v>1</v>
      </c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</row>
    <row r="21" spans="1:37">
      <c r="A21" s="87">
        <v>34</v>
      </c>
      <c r="B21" s="101" t="s">
        <v>68</v>
      </c>
      <c r="C21" s="104">
        <v>1639</v>
      </c>
      <c r="D21" s="102" t="s">
        <v>11</v>
      </c>
      <c r="E21" s="102" t="s">
        <v>19</v>
      </c>
      <c r="F21" s="102" t="s">
        <v>12</v>
      </c>
      <c r="G21" s="102" t="s">
        <v>13</v>
      </c>
      <c r="H21" s="102">
        <f>VLOOKUP(_xlfn.CONCAT(D21,G21),'Estimation Guidelines'!C:L,10,FALSE)</f>
        <v>5.8</v>
      </c>
      <c r="I21" s="102" t="s">
        <v>21</v>
      </c>
      <c r="J21" s="102" t="s">
        <v>53</v>
      </c>
      <c r="K21" s="102">
        <v>202502</v>
      </c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1">
        <v>1</v>
      </c>
      <c r="W21" s="121">
        <v>1</v>
      </c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</row>
    <row r="22" spans="1:37">
      <c r="A22" s="87">
        <v>35</v>
      </c>
      <c r="B22" s="101" t="s">
        <v>70</v>
      </c>
      <c r="C22" s="104">
        <v>2025</v>
      </c>
      <c r="D22" s="102" t="s">
        <v>11</v>
      </c>
      <c r="E22" s="102" t="s">
        <v>19</v>
      </c>
      <c r="F22" s="102" t="s">
        <v>12</v>
      </c>
      <c r="G22" s="102" t="s">
        <v>13</v>
      </c>
      <c r="H22" s="102">
        <f>VLOOKUP(_xlfn.CONCAT(D22,G22),'Estimation Guidelines'!C:L,10,FALSE)</f>
        <v>5.8</v>
      </c>
      <c r="I22" s="102" t="s">
        <v>100</v>
      </c>
      <c r="J22" s="102" t="s">
        <v>101</v>
      </c>
      <c r="K22" s="102">
        <v>202504</v>
      </c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1">
        <v>1</v>
      </c>
      <c r="Y22" s="121">
        <v>1</v>
      </c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</row>
    <row r="23" spans="1:37">
      <c r="A23" s="87">
        <v>36</v>
      </c>
      <c r="B23" s="101" t="s">
        <v>72</v>
      </c>
      <c r="C23" s="104">
        <v>2013</v>
      </c>
      <c r="D23" s="102" t="s">
        <v>11</v>
      </c>
      <c r="E23" s="102" t="s">
        <v>19</v>
      </c>
      <c r="F23" s="102" t="s">
        <v>12</v>
      </c>
      <c r="G23" s="102" t="s">
        <v>20</v>
      </c>
      <c r="H23" s="102">
        <f>VLOOKUP(_xlfn.CONCAT(D23,G23),'Estimation Guidelines'!C:L,10,FALSE)</f>
        <v>8.6</v>
      </c>
      <c r="I23" s="102" t="s">
        <v>21</v>
      </c>
      <c r="J23" s="102" t="s">
        <v>102</v>
      </c>
      <c r="K23" s="102">
        <v>202504</v>
      </c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1">
        <v>1</v>
      </c>
      <c r="Y23" s="121">
        <v>1</v>
      </c>
      <c r="Z23" s="121">
        <v>1</v>
      </c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</row>
    <row r="24" spans="1:37">
      <c r="A24" s="87">
        <v>37</v>
      </c>
      <c r="B24" s="101" t="s">
        <v>74</v>
      </c>
      <c r="C24" s="104">
        <v>1931</v>
      </c>
      <c r="D24" s="102" t="s">
        <v>11</v>
      </c>
      <c r="E24" s="102" t="s">
        <v>19</v>
      </c>
      <c r="F24" s="102" t="s">
        <v>12</v>
      </c>
      <c r="G24" s="102" t="s">
        <v>20</v>
      </c>
      <c r="H24" s="102">
        <f>VLOOKUP(_xlfn.CONCAT(D24,G24),'Estimation Guidelines'!C:L,10,FALSE)</f>
        <v>8.6</v>
      </c>
      <c r="I24" s="102" t="s">
        <v>100</v>
      </c>
      <c r="J24" s="102" t="s">
        <v>103</v>
      </c>
      <c r="K24" s="102">
        <v>202506</v>
      </c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1">
        <v>1</v>
      </c>
      <c r="AA24" s="121">
        <v>1</v>
      </c>
      <c r="AB24" s="121">
        <v>1</v>
      </c>
      <c r="AC24" s="122"/>
      <c r="AD24" s="122"/>
      <c r="AE24" s="122"/>
      <c r="AF24" s="122"/>
      <c r="AG24" s="122"/>
      <c r="AH24" s="122"/>
      <c r="AI24" s="122"/>
      <c r="AJ24" s="122"/>
      <c r="AK24" s="122"/>
    </row>
    <row r="25" spans="1:37">
      <c r="A25" s="87">
        <v>7</v>
      </c>
      <c r="B25" s="101" t="s">
        <v>25</v>
      </c>
      <c r="C25" s="102">
        <v>6804</v>
      </c>
      <c r="D25" s="102" t="s">
        <v>11</v>
      </c>
      <c r="E25" s="102" t="s">
        <v>19</v>
      </c>
      <c r="F25" s="102" t="s">
        <v>12</v>
      </c>
      <c r="G25" s="102" t="s">
        <v>13</v>
      </c>
      <c r="H25" s="102">
        <f>VLOOKUP(_xlfn.CONCAT(D25,G25),'Estimation Guidelines'!C:L,10,FALSE)</f>
        <v>5.8</v>
      </c>
      <c r="I25" s="102" t="s">
        <v>21</v>
      </c>
      <c r="J25" s="123">
        <v>45839</v>
      </c>
      <c r="K25" s="102">
        <v>202507</v>
      </c>
      <c r="L25" s="122"/>
      <c r="M25" s="87"/>
      <c r="N25" s="122"/>
      <c r="O25" s="87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1">
        <v>1</v>
      </c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</row>
    <row r="26" spans="1:37">
      <c r="A26" s="87">
        <v>40</v>
      </c>
      <c r="B26" s="101" t="s">
        <v>79</v>
      </c>
      <c r="C26" s="104">
        <v>4037</v>
      </c>
      <c r="D26" s="102" t="s">
        <v>11</v>
      </c>
      <c r="E26" s="102" t="s">
        <v>19</v>
      </c>
      <c r="F26" s="102" t="s">
        <v>12</v>
      </c>
      <c r="G26" s="102" t="s">
        <v>13</v>
      </c>
      <c r="H26" s="102">
        <f>VLOOKUP(_xlfn.CONCAT(D26,G26),'Estimation Guidelines'!C:L,10,FALSE)</f>
        <v>5.8</v>
      </c>
      <c r="I26" s="102" t="s">
        <v>21</v>
      </c>
      <c r="J26" s="102" t="s">
        <v>104</v>
      </c>
      <c r="K26" s="102">
        <v>202508</v>
      </c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1">
        <v>1</v>
      </c>
      <c r="AC26" s="121">
        <v>1</v>
      </c>
      <c r="AD26" s="122"/>
      <c r="AE26" s="122"/>
      <c r="AF26" s="122"/>
      <c r="AG26" s="122"/>
      <c r="AH26" s="122"/>
      <c r="AI26" s="122"/>
      <c r="AJ26" s="122"/>
      <c r="AK26" s="122"/>
    </row>
    <row r="27" spans="1:37">
      <c r="A27" s="87">
        <v>39</v>
      </c>
      <c r="B27" s="101" t="s">
        <v>77</v>
      </c>
      <c r="C27" s="104">
        <v>1926</v>
      </c>
      <c r="D27" s="102" t="s">
        <v>11</v>
      </c>
      <c r="E27" s="102" t="s">
        <v>19</v>
      </c>
      <c r="F27" s="102" t="s">
        <v>12</v>
      </c>
      <c r="G27" s="102" t="s">
        <v>13</v>
      </c>
      <c r="H27" s="102">
        <f>VLOOKUP(_xlfn.CONCAT(D27,G27),'Estimation Guidelines'!C:L,10,FALSE)</f>
        <v>5.8</v>
      </c>
      <c r="I27" s="102" t="s">
        <v>100</v>
      </c>
      <c r="J27" s="102" t="s">
        <v>105</v>
      </c>
      <c r="K27" s="102">
        <v>202509</v>
      </c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1">
        <v>1</v>
      </c>
      <c r="AD27" s="121">
        <v>1</v>
      </c>
      <c r="AE27" s="122"/>
      <c r="AF27" s="122"/>
      <c r="AG27" s="122"/>
      <c r="AH27" s="122"/>
      <c r="AI27" s="122"/>
      <c r="AJ27" s="122"/>
      <c r="AK27" s="122"/>
    </row>
    <row r="28" spans="1:37">
      <c r="A28" s="87">
        <v>42</v>
      </c>
      <c r="B28" s="101" t="s">
        <v>82</v>
      </c>
      <c r="C28" s="104">
        <v>4381</v>
      </c>
      <c r="D28" s="102" t="s">
        <v>11</v>
      </c>
      <c r="E28" s="102" t="s">
        <v>19</v>
      </c>
      <c r="F28" s="102" t="s">
        <v>12</v>
      </c>
      <c r="G28" s="102" t="s">
        <v>13</v>
      </c>
      <c r="H28" s="102">
        <f>VLOOKUP(_xlfn.CONCAT(D28,G28),'Estimation Guidelines'!C:L,10,FALSE)</f>
        <v>5.8</v>
      </c>
      <c r="I28" s="102" t="s">
        <v>21</v>
      </c>
      <c r="J28" s="102" t="s">
        <v>106</v>
      </c>
      <c r="K28" s="102">
        <v>202510</v>
      </c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1">
        <v>1</v>
      </c>
      <c r="AE28" s="121">
        <v>1</v>
      </c>
      <c r="AF28" s="122"/>
      <c r="AG28" s="122"/>
      <c r="AH28" s="122"/>
      <c r="AI28" s="122"/>
      <c r="AJ28" s="122"/>
      <c r="AK28" s="122"/>
    </row>
    <row r="29" spans="1:37">
      <c r="A29" s="87">
        <v>43</v>
      </c>
      <c r="B29" s="101" t="s">
        <v>83</v>
      </c>
      <c r="C29" s="104">
        <v>7125</v>
      </c>
      <c r="D29" s="102" t="s">
        <v>11</v>
      </c>
      <c r="E29" s="102" t="s">
        <v>19</v>
      </c>
      <c r="F29" s="102" t="s">
        <v>12</v>
      </c>
      <c r="G29" s="102" t="s">
        <v>13</v>
      </c>
      <c r="H29" s="102">
        <f>VLOOKUP(_xlfn.CONCAT(D29,G29),'Estimation Guidelines'!C:L,10,FALSE)</f>
        <v>5.8</v>
      </c>
      <c r="I29" s="102" t="s">
        <v>100</v>
      </c>
      <c r="J29" s="102" t="s">
        <v>107</v>
      </c>
      <c r="K29" s="102">
        <v>202511</v>
      </c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1">
        <v>1</v>
      </c>
      <c r="AF29" s="121">
        <v>1</v>
      </c>
      <c r="AG29" s="87"/>
      <c r="AH29" s="87"/>
      <c r="AI29" s="122"/>
      <c r="AJ29" s="122"/>
      <c r="AK29" s="122"/>
    </row>
    <row r="30" spans="1:37">
      <c r="A30" s="87">
        <v>8</v>
      </c>
      <c r="B30" s="101" t="s">
        <v>27</v>
      </c>
      <c r="C30" s="102">
        <v>5170</v>
      </c>
      <c r="D30" s="102" t="s">
        <v>11</v>
      </c>
      <c r="E30" s="102" t="s">
        <v>19</v>
      </c>
      <c r="F30" s="102" t="s">
        <v>12</v>
      </c>
      <c r="G30" s="102" t="s">
        <v>20</v>
      </c>
      <c r="H30" s="102">
        <f>VLOOKUP(_xlfn.CONCAT(D30,G30),'Estimation Guidelines'!C:L,10,FALSE)</f>
        <v>8.6</v>
      </c>
      <c r="I30" s="102" t="s">
        <v>21</v>
      </c>
      <c r="J30" s="102" t="s">
        <v>108</v>
      </c>
      <c r="K30" s="102">
        <v>202512</v>
      </c>
      <c r="L30" s="122"/>
      <c r="M30" s="122"/>
      <c r="N30" s="87"/>
      <c r="O30" s="87"/>
      <c r="P30" s="122"/>
      <c r="Q30" s="122"/>
      <c r="R30" s="122"/>
      <c r="S30" s="87"/>
      <c r="T30" s="87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1">
        <v>1</v>
      </c>
      <c r="AG30" s="121">
        <v>1</v>
      </c>
      <c r="AH30" s="122"/>
      <c r="AI30" s="122"/>
      <c r="AJ30" s="122"/>
      <c r="AK30" s="122"/>
    </row>
    <row r="31" spans="1:37">
      <c r="A31" s="87">
        <v>10</v>
      </c>
      <c r="B31" s="101" t="s">
        <v>30</v>
      </c>
      <c r="C31" s="102">
        <v>5159</v>
      </c>
      <c r="D31" s="102" t="s">
        <v>11</v>
      </c>
      <c r="E31" s="102" t="s">
        <v>19</v>
      </c>
      <c r="F31" s="102" t="s">
        <v>12</v>
      </c>
      <c r="G31" s="102" t="s">
        <v>20</v>
      </c>
      <c r="H31" s="102">
        <f>VLOOKUP(_xlfn.CONCAT(D31,G31),'Estimation Guidelines'!C:L,10,FALSE)</f>
        <v>8.6</v>
      </c>
      <c r="I31" s="102" t="s">
        <v>21</v>
      </c>
      <c r="J31" s="102" t="s">
        <v>109</v>
      </c>
      <c r="K31" s="102">
        <v>202601</v>
      </c>
      <c r="L31" s="87"/>
      <c r="M31" s="87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1">
        <v>1</v>
      </c>
      <c r="AH31" s="121">
        <v>1</v>
      </c>
      <c r="AI31" s="121">
        <v>1</v>
      </c>
      <c r="AJ31" s="87"/>
      <c r="AK31" s="87"/>
    </row>
    <row r="32" spans="1:37">
      <c r="A32" s="87">
        <v>44</v>
      </c>
      <c r="B32" s="101" t="s">
        <v>84</v>
      </c>
      <c r="C32" s="104">
        <v>2192</v>
      </c>
      <c r="D32" s="102" t="s">
        <v>11</v>
      </c>
      <c r="E32" s="102" t="s">
        <v>19</v>
      </c>
      <c r="F32" s="102" t="s">
        <v>12</v>
      </c>
      <c r="G32" s="102" t="s">
        <v>20</v>
      </c>
      <c r="H32" s="102">
        <f>VLOOKUP(_xlfn.CONCAT(D32,G32),'Estimation Guidelines'!C:L,10,FALSE)</f>
        <v>8.6</v>
      </c>
      <c r="I32" s="102" t="s">
        <v>21</v>
      </c>
      <c r="J32" s="102" t="s">
        <v>110</v>
      </c>
      <c r="K32" s="102">
        <v>202602</v>
      </c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87"/>
      <c r="AG32" s="87"/>
      <c r="AH32" s="124">
        <v>1</v>
      </c>
      <c r="AI32" s="124">
        <v>1</v>
      </c>
      <c r="AJ32" s="122"/>
      <c r="AK32" s="122"/>
    </row>
    <row r="33" spans="1:37">
      <c r="A33" s="87">
        <v>45</v>
      </c>
      <c r="B33" s="101" t="s">
        <v>85</v>
      </c>
      <c r="C33" s="104">
        <v>2676</v>
      </c>
      <c r="D33" s="102" t="s">
        <v>11</v>
      </c>
      <c r="E33" s="102" t="s">
        <v>19</v>
      </c>
      <c r="F33" s="102" t="s">
        <v>12</v>
      </c>
      <c r="G33" s="102" t="s">
        <v>20</v>
      </c>
      <c r="H33" s="102">
        <f>VLOOKUP(_xlfn.CONCAT(D33,G33),'Estimation Guidelines'!C:L,10,FALSE)</f>
        <v>8.6</v>
      </c>
      <c r="I33" s="102" t="s">
        <v>100</v>
      </c>
      <c r="J33" s="102" t="s">
        <v>111</v>
      </c>
      <c r="K33" s="102">
        <v>202603</v>
      </c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87"/>
      <c r="AH33" s="87"/>
      <c r="AI33" s="121">
        <v>1</v>
      </c>
      <c r="AJ33" s="121">
        <v>1</v>
      </c>
      <c r="AK33" s="121">
        <v>1</v>
      </c>
    </row>
    <row r="34" ht="14.5" spans="1:11">
      <c r="A34" s="87">
        <v>1</v>
      </c>
      <c r="B34" s="253" t="s">
        <v>10</v>
      </c>
      <c r="C34" s="107">
        <v>6089</v>
      </c>
      <c r="D34" s="107" t="s">
        <v>11</v>
      </c>
      <c r="E34" s="107" t="s">
        <v>12</v>
      </c>
      <c r="F34" s="107" t="s">
        <v>12</v>
      </c>
      <c r="G34" s="117" t="s">
        <v>13</v>
      </c>
      <c r="H34" s="107"/>
      <c r="I34" s="107" t="s">
        <v>14</v>
      </c>
      <c r="J34" s="107"/>
      <c r="K34" s="107"/>
    </row>
    <row r="35" ht="14.5" spans="1:11">
      <c r="A35" s="87">
        <v>2</v>
      </c>
      <c r="B35" s="110" t="s">
        <v>15</v>
      </c>
      <c r="C35" s="87">
        <v>3933</v>
      </c>
      <c r="D35" s="87" t="s">
        <v>11</v>
      </c>
      <c r="E35" s="87" t="s">
        <v>12</v>
      </c>
      <c r="F35" s="87" t="s">
        <v>12</v>
      </c>
      <c r="G35" s="118" t="s">
        <v>16</v>
      </c>
      <c r="H35" s="87"/>
      <c r="I35" s="87" t="s">
        <v>14</v>
      </c>
      <c r="J35" s="87"/>
      <c r="K35" s="87"/>
    </row>
    <row r="36" ht="14.5" spans="1:11">
      <c r="A36" s="87">
        <v>3</v>
      </c>
      <c r="B36" s="110" t="s">
        <v>17</v>
      </c>
      <c r="C36" s="87">
        <v>10692</v>
      </c>
      <c r="D36" s="87" t="s">
        <v>11</v>
      </c>
      <c r="E36" s="87" t="s">
        <v>12</v>
      </c>
      <c r="F36" s="87" t="s">
        <v>12</v>
      </c>
      <c r="G36" s="118" t="s">
        <v>13</v>
      </c>
      <c r="H36" s="87"/>
      <c r="I36" s="87" t="s">
        <v>14</v>
      </c>
      <c r="J36" s="87"/>
      <c r="K36" s="87"/>
    </row>
    <row r="37" ht="14.5" spans="1:11">
      <c r="A37" s="87">
        <v>5</v>
      </c>
      <c r="B37" s="109" t="s">
        <v>23</v>
      </c>
      <c r="C37" s="87">
        <v>4</v>
      </c>
      <c r="D37" s="87" t="s">
        <v>11</v>
      </c>
      <c r="E37" s="87"/>
      <c r="F37" s="87" t="s">
        <v>19</v>
      </c>
      <c r="G37" s="119"/>
      <c r="H37" s="87"/>
      <c r="I37" s="87"/>
      <c r="J37" s="87"/>
      <c r="K37" s="87"/>
    </row>
    <row r="38" ht="14.5" spans="1:11">
      <c r="A38" s="87">
        <v>6</v>
      </c>
      <c r="B38" s="109" t="s">
        <v>24</v>
      </c>
      <c r="C38" s="87">
        <v>7</v>
      </c>
      <c r="D38" s="87" t="s">
        <v>11</v>
      </c>
      <c r="E38" s="87"/>
      <c r="F38" s="87" t="s">
        <v>19</v>
      </c>
      <c r="G38" s="119"/>
      <c r="H38" s="87"/>
      <c r="I38" s="87"/>
      <c r="J38" s="87"/>
      <c r="K38" s="87"/>
    </row>
    <row r="39" ht="14.5" spans="1:11">
      <c r="A39" s="87">
        <v>9</v>
      </c>
      <c r="B39" s="109" t="s">
        <v>29</v>
      </c>
      <c r="C39" s="87">
        <v>1057</v>
      </c>
      <c r="D39" s="87" t="s">
        <v>11</v>
      </c>
      <c r="E39" s="87"/>
      <c r="F39" s="87" t="s">
        <v>19</v>
      </c>
      <c r="G39" s="118" t="s">
        <v>13</v>
      </c>
      <c r="H39" s="87"/>
      <c r="I39" s="87"/>
      <c r="J39" s="87"/>
      <c r="K39" s="87"/>
    </row>
    <row r="40" ht="14.5" spans="1:11">
      <c r="A40" s="87">
        <v>11</v>
      </c>
      <c r="B40" s="109" t="s">
        <v>32</v>
      </c>
      <c r="C40" s="87">
        <v>573</v>
      </c>
      <c r="D40" s="87" t="s">
        <v>11</v>
      </c>
      <c r="E40" s="87"/>
      <c r="F40" s="87" t="s">
        <v>19</v>
      </c>
      <c r="G40" s="118" t="s">
        <v>20</v>
      </c>
      <c r="H40" s="87"/>
      <c r="I40" s="87"/>
      <c r="J40" s="87"/>
      <c r="K40" s="87"/>
    </row>
    <row r="41" ht="14.5" spans="1:11">
      <c r="A41" s="87">
        <v>21</v>
      </c>
      <c r="B41" s="109" t="s">
        <v>49</v>
      </c>
      <c r="C41" s="87">
        <v>1277</v>
      </c>
      <c r="D41" s="87" t="s">
        <v>11</v>
      </c>
      <c r="E41" s="87"/>
      <c r="F41" s="87" t="s">
        <v>19</v>
      </c>
      <c r="G41" s="120"/>
      <c r="H41" s="87"/>
      <c r="I41" s="87"/>
      <c r="J41" s="87"/>
      <c r="K41" s="87"/>
    </row>
    <row r="42" spans="1:11">
      <c r="A42" s="87">
        <v>26</v>
      </c>
      <c r="B42" s="110" t="s">
        <v>59</v>
      </c>
      <c r="C42" s="87">
        <v>48701</v>
      </c>
      <c r="D42" s="87" t="s">
        <v>11</v>
      </c>
      <c r="E42" s="87" t="s">
        <v>12</v>
      </c>
      <c r="F42" s="87" t="s">
        <v>12</v>
      </c>
      <c r="G42" s="87" t="s">
        <v>20</v>
      </c>
      <c r="H42" s="87"/>
      <c r="I42" s="87" t="s">
        <v>14</v>
      </c>
      <c r="J42" s="87"/>
      <c r="K42" s="87"/>
    </row>
    <row r="43" spans="1:11">
      <c r="A43" s="87">
        <v>27</v>
      </c>
      <c r="B43" s="110" t="s">
        <v>60</v>
      </c>
      <c r="C43" s="87">
        <v>5310</v>
      </c>
      <c r="D43" s="87" t="s">
        <v>11</v>
      </c>
      <c r="E43" s="87" t="s">
        <v>12</v>
      </c>
      <c r="F43" s="87" t="s">
        <v>12</v>
      </c>
      <c r="G43" s="87" t="s">
        <v>20</v>
      </c>
      <c r="H43" s="87"/>
      <c r="I43" s="87" t="s">
        <v>14</v>
      </c>
      <c r="J43" s="87"/>
      <c r="K43" s="87"/>
    </row>
    <row r="44" spans="1:11">
      <c r="A44" s="87">
        <v>28</v>
      </c>
      <c r="B44" s="110" t="s">
        <v>61</v>
      </c>
      <c r="C44" s="87">
        <v>53182</v>
      </c>
      <c r="D44" s="87" t="s">
        <v>11</v>
      </c>
      <c r="E44" s="87" t="s">
        <v>12</v>
      </c>
      <c r="F44" s="87" t="s">
        <v>12</v>
      </c>
      <c r="G44" s="87" t="s">
        <v>16</v>
      </c>
      <c r="H44" s="87"/>
      <c r="I44" s="87" t="s">
        <v>62</v>
      </c>
      <c r="J44" s="87"/>
      <c r="K44" s="87"/>
    </row>
    <row r="45" spans="1:11">
      <c r="A45" s="87">
        <v>29</v>
      </c>
      <c r="B45" s="110" t="s">
        <v>63</v>
      </c>
      <c r="C45" s="87"/>
      <c r="D45" s="87" t="s">
        <v>11</v>
      </c>
      <c r="E45" s="87" t="s">
        <v>12</v>
      </c>
      <c r="F45" s="87" t="s">
        <v>12</v>
      </c>
      <c r="G45" s="87" t="s">
        <v>16</v>
      </c>
      <c r="H45" s="87"/>
      <c r="I45" s="87" t="s">
        <v>62</v>
      </c>
      <c r="J45" s="87"/>
      <c r="K45" s="87"/>
    </row>
    <row r="46" spans="1:11">
      <c r="A46" s="87">
        <v>30</v>
      </c>
      <c r="B46" s="110" t="s">
        <v>64</v>
      </c>
      <c r="C46" s="87"/>
      <c r="D46" s="87" t="s">
        <v>11</v>
      </c>
      <c r="E46" s="87" t="s">
        <v>12</v>
      </c>
      <c r="F46" s="87" t="s">
        <v>12</v>
      </c>
      <c r="G46" s="87" t="s">
        <v>16</v>
      </c>
      <c r="H46" s="87"/>
      <c r="I46" s="87" t="s">
        <v>62</v>
      </c>
      <c r="J46" s="87"/>
      <c r="K46" s="87"/>
    </row>
    <row r="47" spans="1:11">
      <c r="A47" s="87">
        <v>31</v>
      </c>
      <c r="B47" s="110" t="s">
        <v>65</v>
      </c>
      <c r="C47" s="87"/>
      <c r="D47" s="87" t="s">
        <v>11</v>
      </c>
      <c r="E47" s="87" t="s">
        <v>12</v>
      </c>
      <c r="F47" s="87" t="s">
        <v>12</v>
      </c>
      <c r="G47" s="87" t="s">
        <v>20</v>
      </c>
      <c r="H47" s="87"/>
      <c r="I47" s="87" t="s">
        <v>62</v>
      </c>
      <c r="J47" s="87"/>
      <c r="K47" s="87"/>
    </row>
    <row r="48" spans="1:11">
      <c r="A48" s="87">
        <v>32</v>
      </c>
      <c r="B48" s="110" t="s">
        <v>66</v>
      </c>
      <c r="C48" s="87">
        <v>6316</v>
      </c>
      <c r="D48" s="87" t="s">
        <v>11</v>
      </c>
      <c r="E48" s="87" t="s">
        <v>12</v>
      </c>
      <c r="F48" s="87" t="s">
        <v>12</v>
      </c>
      <c r="G48" s="87" t="s">
        <v>13</v>
      </c>
      <c r="H48" s="87"/>
      <c r="I48" s="87" t="s">
        <v>62</v>
      </c>
      <c r="J48" s="87"/>
      <c r="K48" s="87"/>
    </row>
  </sheetData>
  <autoFilter xmlns:etc="http://www.wps.cn/officeDocument/2017/etCustomData" ref="A2:AK48" etc:filterBottomFollowUsedRange="0">
    <extLst/>
  </autoFilter>
  <mergeCells count="4">
    <mergeCell ref="B1:K1"/>
    <mergeCell ref="L1:T1"/>
    <mergeCell ref="U1:AF1"/>
    <mergeCell ref="AG1:AK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2:C300"/>
  <sheetViews>
    <sheetView topLeftCell="A109" workbookViewId="0">
      <selection activeCell="B119" sqref="B119"/>
    </sheetView>
  </sheetViews>
  <sheetFormatPr defaultColWidth="9" defaultRowHeight="14.5" outlineLevelCol="2"/>
  <cols>
    <col min="1" max="1" width="24.7090909090909" customWidth="1"/>
    <col min="2" max="2" width="66.1363636363636" customWidth="1"/>
    <col min="3" max="3" width="6.85454545454545" customWidth="1"/>
  </cols>
  <sheetData>
    <row r="2" spans="1:3">
      <c r="A2" t="s">
        <v>112</v>
      </c>
      <c r="B2" t="s">
        <v>113</v>
      </c>
      <c r="C2" t="s">
        <v>114</v>
      </c>
    </row>
    <row r="3" hidden="1" spans="1:3">
      <c r="A3" t="s">
        <v>115</v>
      </c>
      <c r="B3" t="s">
        <v>116</v>
      </c>
      <c r="C3">
        <v>43</v>
      </c>
    </row>
    <row r="4" spans="2:3">
      <c r="B4" t="s">
        <v>43</v>
      </c>
      <c r="C4">
        <v>2876</v>
      </c>
    </row>
    <row r="5" spans="2:3">
      <c r="B5" t="s">
        <v>117</v>
      </c>
      <c r="C5">
        <v>78207</v>
      </c>
    </row>
    <row r="6" hidden="1" spans="2:3">
      <c r="B6" t="s">
        <v>118</v>
      </c>
      <c r="C6">
        <v>959</v>
      </c>
    </row>
    <row r="7" hidden="1" spans="2:3">
      <c r="B7" t="s">
        <v>119</v>
      </c>
      <c r="C7">
        <v>1204</v>
      </c>
    </row>
    <row r="8" hidden="1" spans="2:3">
      <c r="B8" t="s">
        <v>120</v>
      </c>
      <c r="C8">
        <v>29</v>
      </c>
    </row>
    <row r="9" spans="2:3">
      <c r="B9" t="s">
        <v>121</v>
      </c>
      <c r="C9">
        <v>6785</v>
      </c>
    </row>
    <row r="10" spans="2:3">
      <c r="B10" t="s">
        <v>122</v>
      </c>
      <c r="C10">
        <v>5918</v>
      </c>
    </row>
    <row r="11" hidden="1" spans="2:3">
      <c r="B11" t="s">
        <v>123</v>
      </c>
      <c r="C11">
        <v>16</v>
      </c>
    </row>
    <row r="12" hidden="1" spans="2:3">
      <c r="B12" t="s">
        <v>124</v>
      </c>
      <c r="C12">
        <v>10</v>
      </c>
    </row>
    <row r="13" spans="2:3">
      <c r="B13" t="s">
        <v>125</v>
      </c>
      <c r="C13">
        <v>3657</v>
      </c>
    </row>
    <row r="14" spans="2:3">
      <c r="B14" t="s">
        <v>74</v>
      </c>
      <c r="C14">
        <v>1920</v>
      </c>
    </row>
    <row r="15" hidden="1" spans="2:3">
      <c r="B15" t="s">
        <v>126</v>
      </c>
      <c r="C15">
        <v>168</v>
      </c>
    </row>
    <row r="16" hidden="1" spans="2:3">
      <c r="B16" t="s">
        <v>127</v>
      </c>
      <c r="C16">
        <v>18</v>
      </c>
    </row>
    <row r="17" hidden="1" spans="2:3">
      <c r="B17" t="s">
        <v>128</v>
      </c>
      <c r="C17">
        <v>1406</v>
      </c>
    </row>
    <row r="18" hidden="1" spans="2:3">
      <c r="B18" t="s">
        <v>129</v>
      </c>
      <c r="C18">
        <v>318</v>
      </c>
    </row>
    <row r="19" spans="2:3">
      <c r="B19" t="s">
        <v>76</v>
      </c>
      <c r="C19">
        <v>10287</v>
      </c>
    </row>
    <row r="20" hidden="1" spans="2:3">
      <c r="B20" t="s">
        <v>130</v>
      </c>
      <c r="C20">
        <v>1</v>
      </c>
    </row>
    <row r="21" hidden="1" spans="2:3">
      <c r="B21" t="s">
        <v>79</v>
      </c>
      <c r="C21">
        <v>12</v>
      </c>
    </row>
    <row r="22" hidden="1" spans="2:3">
      <c r="B22" t="s">
        <v>131</v>
      </c>
      <c r="C22">
        <v>0</v>
      </c>
    </row>
    <row r="23" spans="2:3">
      <c r="B23" t="s">
        <v>81</v>
      </c>
      <c r="C23">
        <v>44414</v>
      </c>
    </row>
    <row r="24" spans="2:3">
      <c r="B24" t="s">
        <v>82</v>
      </c>
      <c r="C24">
        <v>4322</v>
      </c>
    </row>
    <row r="25" spans="2:3">
      <c r="B25" t="s">
        <v>50</v>
      </c>
      <c r="C25">
        <v>2970</v>
      </c>
    </row>
    <row r="26" hidden="1" spans="2:3">
      <c r="B26" t="s">
        <v>132</v>
      </c>
      <c r="C26">
        <v>44</v>
      </c>
    </row>
    <row r="27" spans="2:3">
      <c r="B27" t="s">
        <v>83</v>
      </c>
      <c r="C27">
        <v>7118</v>
      </c>
    </row>
    <row r="28" hidden="1" spans="2:3">
      <c r="B28" t="s">
        <v>133</v>
      </c>
      <c r="C28">
        <v>7</v>
      </c>
    </row>
    <row r="29" hidden="1" spans="2:3">
      <c r="B29" t="s">
        <v>134</v>
      </c>
      <c r="C29">
        <v>0</v>
      </c>
    </row>
    <row r="30" spans="2:3">
      <c r="B30" t="s">
        <v>135</v>
      </c>
      <c r="C30">
        <v>25248</v>
      </c>
    </row>
    <row r="31" hidden="1" spans="2:3">
      <c r="B31" t="s">
        <v>29</v>
      </c>
      <c r="C31">
        <v>938</v>
      </c>
    </row>
    <row r="32" spans="2:3">
      <c r="B32" t="s">
        <v>136</v>
      </c>
      <c r="C32">
        <v>4101</v>
      </c>
    </row>
    <row r="33" hidden="1" spans="2:3">
      <c r="B33" t="s">
        <v>32</v>
      </c>
      <c r="C33">
        <v>507</v>
      </c>
    </row>
    <row r="34" spans="2:3">
      <c r="B34" t="s">
        <v>137</v>
      </c>
      <c r="C34">
        <v>4353</v>
      </c>
    </row>
    <row r="35" hidden="1" spans="2:3">
      <c r="B35" t="s">
        <v>138</v>
      </c>
      <c r="C35">
        <v>20</v>
      </c>
    </row>
    <row r="36" spans="2:3">
      <c r="B36" t="s">
        <v>139</v>
      </c>
      <c r="C36">
        <v>2396</v>
      </c>
    </row>
    <row r="37" hidden="1" spans="2:3">
      <c r="B37" t="s">
        <v>140</v>
      </c>
      <c r="C37">
        <v>102</v>
      </c>
    </row>
    <row r="38" hidden="1" spans="2:3">
      <c r="B38" t="s">
        <v>141</v>
      </c>
      <c r="C38">
        <v>51</v>
      </c>
    </row>
    <row r="39" hidden="1" spans="2:3">
      <c r="B39" t="s">
        <v>142</v>
      </c>
      <c r="C39">
        <v>33</v>
      </c>
    </row>
    <row r="40" hidden="1" spans="2:3">
      <c r="B40" t="s">
        <v>143</v>
      </c>
      <c r="C40">
        <v>822</v>
      </c>
    </row>
    <row r="41" hidden="1" spans="2:3">
      <c r="B41" t="s">
        <v>144</v>
      </c>
      <c r="C41">
        <v>45</v>
      </c>
    </row>
    <row r="42" hidden="1" spans="2:3">
      <c r="B42" t="s">
        <v>145</v>
      </c>
      <c r="C42">
        <v>191</v>
      </c>
    </row>
    <row r="43" hidden="1" spans="2:3">
      <c r="B43" t="s">
        <v>146</v>
      </c>
      <c r="C43">
        <v>31</v>
      </c>
    </row>
    <row r="44" hidden="1" spans="2:3">
      <c r="B44" t="s">
        <v>147</v>
      </c>
      <c r="C44">
        <v>12</v>
      </c>
    </row>
    <row r="45" hidden="1" spans="2:3">
      <c r="B45" t="s">
        <v>148</v>
      </c>
      <c r="C45">
        <v>2</v>
      </c>
    </row>
    <row r="46" hidden="1" spans="2:3">
      <c r="B46" t="s">
        <v>149</v>
      </c>
      <c r="C46">
        <v>1</v>
      </c>
    </row>
    <row r="47" hidden="1" spans="2:3">
      <c r="B47" t="s">
        <v>150</v>
      </c>
      <c r="C47">
        <v>2</v>
      </c>
    </row>
    <row r="48" hidden="1" spans="2:3">
      <c r="B48" t="s">
        <v>151</v>
      </c>
      <c r="C48">
        <v>5</v>
      </c>
    </row>
    <row r="49" hidden="1" spans="2:3">
      <c r="B49" t="s">
        <v>152</v>
      </c>
      <c r="C49">
        <v>16</v>
      </c>
    </row>
    <row r="50" hidden="1" spans="2:3">
      <c r="B50" t="s">
        <v>153</v>
      </c>
      <c r="C50">
        <v>3</v>
      </c>
    </row>
    <row r="51" hidden="1" spans="2:3">
      <c r="B51" t="s">
        <v>154</v>
      </c>
      <c r="C51">
        <v>2</v>
      </c>
    </row>
    <row r="52" hidden="1" spans="2:3">
      <c r="B52" t="s">
        <v>155</v>
      </c>
      <c r="C52">
        <v>3</v>
      </c>
    </row>
    <row r="53" hidden="1" spans="2:3">
      <c r="B53" t="s">
        <v>156</v>
      </c>
      <c r="C53">
        <v>422</v>
      </c>
    </row>
    <row r="54" hidden="1" spans="2:3">
      <c r="B54" t="s">
        <v>157</v>
      </c>
      <c r="C54">
        <v>0</v>
      </c>
    </row>
    <row r="55" hidden="1" spans="2:3">
      <c r="B55" t="s">
        <v>158</v>
      </c>
      <c r="C55">
        <v>1</v>
      </c>
    </row>
    <row r="56" spans="1:3">
      <c r="A56" t="s">
        <v>159</v>
      </c>
      <c r="C56">
        <v>212016</v>
      </c>
    </row>
    <row r="57" hidden="1" spans="1:3">
      <c r="A57" t="s">
        <v>160</v>
      </c>
      <c r="B57" t="s">
        <v>116</v>
      </c>
      <c r="C57">
        <v>36</v>
      </c>
    </row>
    <row r="58" hidden="1" spans="2:3">
      <c r="B58" t="s">
        <v>117</v>
      </c>
      <c r="C58">
        <v>4</v>
      </c>
    </row>
    <row r="59" hidden="1" spans="2:3">
      <c r="B59" t="s">
        <v>118</v>
      </c>
      <c r="C59">
        <v>921</v>
      </c>
    </row>
    <row r="60" hidden="1" spans="2:3">
      <c r="B60" t="s">
        <v>121</v>
      </c>
      <c r="C60">
        <v>19</v>
      </c>
    </row>
    <row r="61" hidden="1" spans="2:3">
      <c r="B61" t="s">
        <v>122</v>
      </c>
      <c r="C61">
        <v>99</v>
      </c>
    </row>
    <row r="62" hidden="1" spans="2:3">
      <c r="B62" t="s">
        <v>125</v>
      </c>
      <c r="C62">
        <v>14</v>
      </c>
    </row>
    <row r="63" hidden="1" spans="2:3">
      <c r="B63" t="s">
        <v>161</v>
      </c>
      <c r="C63">
        <v>1</v>
      </c>
    </row>
    <row r="64" spans="2:3">
      <c r="B64" t="s">
        <v>79</v>
      </c>
      <c r="C64">
        <v>4009</v>
      </c>
    </row>
    <row r="65" hidden="1" spans="2:3">
      <c r="B65" t="s">
        <v>131</v>
      </c>
      <c r="C65">
        <v>2</v>
      </c>
    </row>
    <row r="66" hidden="1" spans="2:3">
      <c r="B66" t="s">
        <v>81</v>
      </c>
      <c r="C66">
        <v>1372</v>
      </c>
    </row>
    <row r="67" hidden="1" spans="2:3">
      <c r="B67" t="s">
        <v>82</v>
      </c>
      <c r="C67">
        <v>33</v>
      </c>
    </row>
    <row r="68" hidden="1" spans="2:3">
      <c r="B68" t="s">
        <v>50</v>
      </c>
      <c r="C68">
        <v>65</v>
      </c>
    </row>
    <row r="69" hidden="1" spans="2:3">
      <c r="B69" t="s">
        <v>83</v>
      </c>
      <c r="C69">
        <v>5</v>
      </c>
    </row>
    <row r="70" hidden="1" spans="2:3">
      <c r="B70" t="s">
        <v>134</v>
      </c>
      <c r="C70">
        <v>0</v>
      </c>
    </row>
    <row r="71" hidden="1" spans="2:3">
      <c r="B71" t="s">
        <v>135</v>
      </c>
      <c r="C71">
        <v>148</v>
      </c>
    </row>
    <row r="72" hidden="1" spans="2:3">
      <c r="B72" t="s">
        <v>138</v>
      </c>
      <c r="C72">
        <v>0</v>
      </c>
    </row>
    <row r="73" spans="2:3">
      <c r="B73" t="s">
        <v>139</v>
      </c>
      <c r="C73">
        <v>11041</v>
      </c>
    </row>
    <row r="74" spans="2:3">
      <c r="B74" t="s">
        <v>140</v>
      </c>
      <c r="C74">
        <v>9145</v>
      </c>
    </row>
    <row r="75" spans="2:3">
      <c r="B75" t="s">
        <v>141</v>
      </c>
      <c r="C75">
        <v>5097</v>
      </c>
    </row>
    <row r="76" hidden="1" spans="2:3">
      <c r="B76" t="s">
        <v>143</v>
      </c>
      <c r="C76">
        <v>8</v>
      </c>
    </row>
    <row r="77" hidden="1" spans="2:3">
      <c r="B77" t="s">
        <v>162</v>
      </c>
      <c r="C77">
        <v>34</v>
      </c>
    </row>
    <row r="78" hidden="1" spans="2:3">
      <c r="B78" t="s">
        <v>163</v>
      </c>
      <c r="C78">
        <v>16</v>
      </c>
    </row>
    <row r="79" spans="1:3">
      <c r="A79" t="s">
        <v>164</v>
      </c>
      <c r="C79">
        <v>32069</v>
      </c>
    </row>
    <row r="80" hidden="1" spans="1:3">
      <c r="A80" t="s">
        <v>165</v>
      </c>
      <c r="B80" t="s">
        <v>166</v>
      </c>
      <c r="C80">
        <v>0</v>
      </c>
    </row>
    <row r="81" hidden="1" spans="2:3">
      <c r="B81" t="s">
        <v>167</v>
      </c>
      <c r="C81">
        <v>788</v>
      </c>
    </row>
    <row r="82" hidden="1" spans="2:3">
      <c r="B82" t="s">
        <v>117</v>
      </c>
      <c r="C82">
        <v>0</v>
      </c>
    </row>
    <row r="83" hidden="1" spans="2:3">
      <c r="B83" t="s">
        <v>72</v>
      </c>
      <c r="C83">
        <v>20</v>
      </c>
    </row>
    <row r="84" hidden="1" spans="2:3">
      <c r="B84" t="s">
        <v>168</v>
      </c>
      <c r="C84">
        <v>31</v>
      </c>
    </row>
    <row r="85" hidden="1" spans="2:3">
      <c r="B85" t="s">
        <v>128</v>
      </c>
      <c r="C85">
        <v>2</v>
      </c>
    </row>
    <row r="86" hidden="1" spans="2:3">
      <c r="B86" t="s">
        <v>169</v>
      </c>
      <c r="C86">
        <v>0</v>
      </c>
    </row>
    <row r="87" hidden="1" spans="2:3">
      <c r="B87" t="s">
        <v>170</v>
      </c>
      <c r="C87">
        <v>0</v>
      </c>
    </row>
    <row r="88" hidden="1" spans="2:3">
      <c r="B88" t="s">
        <v>171</v>
      </c>
      <c r="C88">
        <v>0</v>
      </c>
    </row>
    <row r="89" hidden="1" spans="2:3">
      <c r="B89" t="s">
        <v>81</v>
      </c>
      <c r="C89">
        <v>0</v>
      </c>
    </row>
    <row r="90" hidden="1" spans="2:3">
      <c r="B90" t="s">
        <v>83</v>
      </c>
      <c r="C90">
        <v>2</v>
      </c>
    </row>
    <row r="91" hidden="1" spans="2:3">
      <c r="B91" t="s">
        <v>135</v>
      </c>
      <c r="C91">
        <v>32</v>
      </c>
    </row>
    <row r="92" hidden="1" spans="2:3">
      <c r="B92" t="s">
        <v>172</v>
      </c>
      <c r="C92">
        <v>0</v>
      </c>
    </row>
    <row r="93" spans="2:3">
      <c r="B93" t="s">
        <v>173</v>
      </c>
      <c r="C93">
        <v>6131</v>
      </c>
    </row>
    <row r="94" hidden="1" spans="2:3">
      <c r="B94" t="s">
        <v>174</v>
      </c>
      <c r="C94">
        <v>136</v>
      </c>
    </row>
    <row r="95" hidden="1" spans="2:3">
      <c r="B95" t="s">
        <v>175</v>
      </c>
      <c r="C95">
        <v>302</v>
      </c>
    </row>
    <row r="96" hidden="1" spans="2:3">
      <c r="B96" t="s">
        <v>143</v>
      </c>
      <c r="C96">
        <v>31</v>
      </c>
    </row>
    <row r="97" hidden="1" spans="2:3">
      <c r="B97" t="s">
        <v>176</v>
      </c>
      <c r="C97">
        <v>869</v>
      </c>
    </row>
    <row r="98" hidden="1" spans="2:3">
      <c r="B98" t="s">
        <v>177</v>
      </c>
      <c r="C98">
        <v>3</v>
      </c>
    </row>
    <row r="99" hidden="1" spans="2:3">
      <c r="B99" t="s">
        <v>145</v>
      </c>
      <c r="C99">
        <v>0</v>
      </c>
    </row>
    <row r="100" hidden="1" spans="2:3">
      <c r="B100" t="s">
        <v>178</v>
      </c>
      <c r="C100">
        <v>40</v>
      </c>
    </row>
    <row r="101" hidden="1" spans="2:3">
      <c r="B101" t="s">
        <v>179</v>
      </c>
      <c r="C101">
        <v>2</v>
      </c>
    </row>
    <row r="102" spans="2:3">
      <c r="B102" t="s">
        <v>39</v>
      </c>
      <c r="C102">
        <v>11157</v>
      </c>
    </row>
    <row r="103" hidden="1" spans="2:3">
      <c r="B103" t="s">
        <v>180</v>
      </c>
      <c r="C103">
        <v>361</v>
      </c>
    </row>
    <row r="104" hidden="1" spans="2:3">
      <c r="B104" t="s">
        <v>181</v>
      </c>
      <c r="C104">
        <v>17</v>
      </c>
    </row>
    <row r="105" hidden="1" spans="2:3">
      <c r="B105" t="s">
        <v>182</v>
      </c>
      <c r="C105">
        <v>44</v>
      </c>
    </row>
    <row r="106" hidden="1" spans="2:3">
      <c r="B106" t="s">
        <v>183</v>
      </c>
      <c r="C106">
        <v>113</v>
      </c>
    </row>
    <row r="107" hidden="1" spans="2:3">
      <c r="B107" t="s">
        <v>184</v>
      </c>
      <c r="C107">
        <v>166</v>
      </c>
    </row>
    <row r="108" spans="1:3">
      <c r="A108" t="s">
        <v>185</v>
      </c>
      <c r="C108">
        <v>20247</v>
      </c>
    </row>
    <row r="109" spans="1:3">
      <c r="A109" t="s">
        <v>186</v>
      </c>
      <c r="B109" t="s">
        <v>116</v>
      </c>
      <c r="C109">
        <v>2603</v>
      </c>
    </row>
    <row r="110" hidden="1" spans="2:3">
      <c r="B110" t="s">
        <v>187</v>
      </c>
      <c r="C110">
        <v>8</v>
      </c>
    </row>
    <row r="111" hidden="1" spans="2:3">
      <c r="B111" t="s">
        <v>188</v>
      </c>
      <c r="C111">
        <v>7</v>
      </c>
    </row>
    <row r="112" hidden="1" spans="2:3">
      <c r="B112" t="s">
        <v>189</v>
      </c>
      <c r="C112">
        <v>1</v>
      </c>
    </row>
    <row r="113" spans="2:3">
      <c r="B113" t="s">
        <v>170</v>
      </c>
      <c r="C113">
        <v>4427</v>
      </c>
    </row>
    <row r="114" spans="2:3">
      <c r="B114" t="s">
        <v>190</v>
      </c>
      <c r="C114">
        <v>9840</v>
      </c>
    </row>
    <row r="115" hidden="1" spans="2:3">
      <c r="B115" t="s">
        <v>171</v>
      </c>
      <c r="C115">
        <v>198</v>
      </c>
    </row>
    <row r="116" hidden="1" spans="2:3">
      <c r="B116" t="s">
        <v>191</v>
      </c>
      <c r="C116">
        <v>45</v>
      </c>
    </row>
    <row r="117" hidden="1" spans="2:3">
      <c r="B117" t="s">
        <v>192</v>
      </c>
      <c r="C117">
        <v>90</v>
      </c>
    </row>
    <row r="118" hidden="1" spans="2:3">
      <c r="B118" t="s">
        <v>134</v>
      </c>
      <c r="C118">
        <v>0</v>
      </c>
    </row>
    <row r="119" spans="2:3">
      <c r="B119" t="s">
        <v>85</v>
      </c>
      <c r="C119">
        <v>2676</v>
      </c>
    </row>
    <row r="120" hidden="1" spans="2:3">
      <c r="B120" t="s">
        <v>193</v>
      </c>
      <c r="C120">
        <v>1</v>
      </c>
    </row>
    <row r="121" hidden="1" spans="2:3">
      <c r="B121" t="s">
        <v>137</v>
      </c>
      <c r="C121">
        <v>5</v>
      </c>
    </row>
    <row r="122" hidden="1" spans="2:3">
      <c r="B122" t="s">
        <v>139</v>
      </c>
      <c r="C122">
        <v>1</v>
      </c>
    </row>
    <row r="123" hidden="1" spans="2:3">
      <c r="B123" t="s">
        <v>172</v>
      </c>
      <c r="C123">
        <v>9</v>
      </c>
    </row>
    <row r="124" hidden="1" spans="2:3">
      <c r="B124" t="s">
        <v>174</v>
      </c>
      <c r="C124">
        <v>1</v>
      </c>
    </row>
    <row r="125" hidden="1" spans="2:3">
      <c r="B125" t="s">
        <v>194</v>
      </c>
      <c r="C125">
        <v>182</v>
      </c>
    </row>
    <row r="126" hidden="1" spans="2:3">
      <c r="B126" t="s">
        <v>195</v>
      </c>
      <c r="C126">
        <v>3</v>
      </c>
    </row>
    <row r="127" hidden="1" spans="2:3">
      <c r="B127" t="s">
        <v>196</v>
      </c>
      <c r="C127">
        <v>2</v>
      </c>
    </row>
    <row r="128" hidden="1" spans="2:3">
      <c r="B128" t="s">
        <v>197</v>
      </c>
      <c r="C128">
        <v>14</v>
      </c>
    </row>
    <row r="129" spans="1:3">
      <c r="A129" t="s">
        <v>198</v>
      </c>
      <c r="C129">
        <v>20113</v>
      </c>
    </row>
    <row r="130" hidden="1" spans="1:3">
      <c r="A130" t="s">
        <v>199</v>
      </c>
      <c r="B130" t="s">
        <v>200</v>
      </c>
      <c r="C130">
        <v>331</v>
      </c>
    </row>
    <row r="131" hidden="1" spans="2:3">
      <c r="B131" t="s">
        <v>201</v>
      </c>
      <c r="C131">
        <v>12</v>
      </c>
    </row>
    <row r="132" hidden="1" spans="2:3">
      <c r="B132" t="s">
        <v>166</v>
      </c>
      <c r="C132">
        <v>34</v>
      </c>
    </row>
    <row r="133" hidden="1" spans="2:3">
      <c r="B133" t="s">
        <v>202</v>
      </c>
      <c r="C133">
        <v>56</v>
      </c>
    </row>
    <row r="134" spans="2:3">
      <c r="B134" t="s">
        <v>68</v>
      </c>
      <c r="C134">
        <v>1639</v>
      </c>
    </row>
    <row r="135" hidden="1" spans="2:3">
      <c r="B135" t="s">
        <v>203</v>
      </c>
      <c r="C135">
        <v>209</v>
      </c>
    </row>
    <row r="136" hidden="1" spans="2:3">
      <c r="B136" t="s">
        <v>118</v>
      </c>
      <c r="C136">
        <v>5</v>
      </c>
    </row>
    <row r="137" spans="2:3">
      <c r="B137" t="s">
        <v>72</v>
      </c>
      <c r="C137">
        <v>1993</v>
      </c>
    </row>
    <row r="138" hidden="1" spans="2:3">
      <c r="B138" t="s">
        <v>204</v>
      </c>
      <c r="C138">
        <v>6</v>
      </c>
    </row>
    <row r="139" hidden="1" spans="2:3">
      <c r="B139" t="s">
        <v>123</v>
      </c>
      <c r="C139">
        <v>1</v>
      </c>
    </row>
    <row r="140" hidden="1" spans="2:3">
      <c r="B140" t="s">
        <v>125</v>
      </c>
      <c r="C140">
        <v>4</v>
      </c>
    </row>
    <row r="141" hidden="1" spans="2:3">
      <c r="B141" t="s">
        <v>205</v>
      </c>
      <c r="C141">
        <v>0</v>
      </c>
    </row>
    <row r="142" hidden="1" spans="2:3">
      <c r="B142" t="s">
        <v>81</v>
      </c>
      <c r="C142">
        <v>5</v>
      </c>
    </row>
    <row r="143" hidden="1" spans="2:3">
      <c r="B143" t="s">
        <v>134</v>
      </c>
      <c r="C143">
        <v>0</v>
      </c>
    </row>
    <row r="144" hidden="1" spans="2:3">
      <c r="B144" t="s">
        <v>206</v>
      </c>
      <c r="C144">
        <v>386</v>
      </c>
    </row>
    <row r="145" hidden="1" spans="2:3">
      <c r="B145" t="s">
        <v>139</v>
      </c>
      <c r="C145">
        <v>1</v>
      </c>
    </row>
    <row r="146" hidden="1" spans="2:3">
      <c r="B146" t="s">
        <v>207</v>
      </c>
      <c r="C146">
        <v>1473</v>
      </c>
    </row>
    <row r="147" hidden="1" spans="2:3">
      <c r="B147" t="s">
        <v>208</v>
      </c>
      <c r="C147">
        <v>153</v>
      </c>
    </row>
    <row r="148" hidden="1" spans="2:3">
      <c r="B148" t="s">
        <v>209</v>
      </c>
      <c r="C148">
        <v>128</v>
      </c>
    </row>
    <row r="149" hidden="1" spans="2:3">
      <c r="B149" t="s">
        <v>210</v>
      </c>
      <c r="C149">
        <v>23</v>
      </c>
    </row>
    <row r="150" hidden="1" spans="2:3">
      <c r="B150" t="s">
        <v>211</v>
      </c>
      <c r="C150">
        <v>210</v>
      </c>
    </row>
    <row r="151" hidden="1" spans="2:3">
      <c r="B151" t="s">
        <v>173</v>
      </c>
      <c r="C151">
        <v>1</v>
      </c>
    </row>
    <row r="152" hidden="1" spans="2:3">
      <c r="B152" t="s">
        <v>175</v>
      </c>
      <c r="C152">
        <v>2</v>
      </c>
    </row>
    <row r="153" hidden="1" spans="2:3">
      <c r="B153" t="s">
        <v>143</v>
      </c>
      <c r="C153">
        <v>19</v>
      </c>
    </row>
    <row r="154" spans="2:3">
      <c r="B154" t="s">
        <v>177</v>
      </c>
      <c r="C154">
        <v>3558</v>
      </c>
    </row>
    <row r="155" hidden="1" spans="2:3">
      <c r="B155" t="s">
        <v>212</v>
      </c>
      <c r="C155">
        <v>20</v>
      </c>
    </row>
    <row r="156" hidden="1" spans="2:3">
      <c r="B156" t="s">
        <v>213</v>
      </c>
      <c r="C156">
        <v>20</v>
      </c>
    </row>
    <row r="157" hidden="1" spans="2:3">
      <c r="B157" t="s">
        <v>145</v>
      </c>
      <c r="C157">
        <v>1</v>
      </c>
    </row>
    <row r="158" hidden="1" spans="2:3">
      <c r="B158" t="s">
        <v>214</v>
      </c>
      <c r="C158">
        <v>1</v>
      </c>
    </row>
    <row r="159" spans="1:3">
      <c r="A159" t="s">
        <v>215</v>
      </c>
      <c r="C159">
        <v>10291</v>
      </c>
    </row>
    <row r="160" hidden="1" spans="1:3">
      <c r="A160" t="s">
        <v>216</v>
      </c>
      <c r="B160" t="s">
        <v>122</v>
      </c>
      <c r="C160">
        <v>1</v>
      </c>
    </row>
    <row r="161" hidden="1" spans="2:3">
      <c r="B161" t="s">
        <v>134</v>
      </c>
      <c r="C161">
        <v>0</v>
      </c>
    </row>
    <row r="162" spans="2:3">
      <c r="B162" t="s">
        <v>141</v>
      </c>
      <c r="C162">
        <v>8512</v>
      </c>
    </row>
    <row r="163" hidden="1" spans="2:3">
      <c r="B163" t="s">
        <v>162</v>
      </c>
      <c r="C163">
        <v>460</v>
      </c>
    </row>
    <row r="164" spans="1:3">
      <c r="A164" t="s">
        <v>217</v>
      </c>
      <c r="C164">
        <v>8973</v>
      </c>
    </row>
    <row r="165" hidden="1" spans="1:3">
      <c r="A165" t="s">
        <v>218</v>
      </c>
      <c r="B165" t="s">
        <v>187</v>
      </c>
      <c r="C165">
        <v>3</v>
      </c>
    </row>
    <row r="166" hidden="1" spans="2:3">
      <c r="B166" t="s">
        <v>219</v>
      </c>
      <c r="C166">
        <v>688</v>
      </c>
    </row>
    <row r="167" hidden="1" spans="2:3">
      <c r="B167" t="s">
        <v>220</v>
      </c>
      <c r="C167">
        <v>238</v>
      </c>
    </row>
    <row r="168" hidden="1" spans="2:3">
      <c r="B168" t="s">
        <v>221</v>
      </c>
      <c r="C168">
        <v>10</v>
      </c>
    </row>
    <row r="169" hidden="1" spans="2:3">
      <c r="B169" t="s">
        <v>222</v>
      </c>
      <c r="C169">
        <v>16</v>
      </c>
    </row>
    <row r="170" hidden="1" spans="2:3">
      <c r="B170" t="s">
        <v>223</v>
      </c>
      <c r="C170">
        <v>623</v>
      </c>
    </row>
    <row r="171" hidden="1" spans="2:3">
      <c r="B171" t="s">
        <v>224</v>
      </c>
      <c r="C171">
        <v>337</v>
      </c>
    </row>
    <row r="172" hidden="1" spans="2:3">
      <c r="B172" t="s">
        <v>117</v>
      </c>
      <c r="C172">
        <v>1</v>
      </c>
    </row>
    <row r="173" hidden="1" spans="2:3">
      <c r="B173" t="s">
        <v>225</v>
      </c>
      <c r="C173">
        <v>33</v>
      </c>
    </row>
    <row r="174" hidden="1" spans="2:3">
      <c r="B174" t="s">
        <v>226</v>
      </c>
      <c r="C174">
        <v>926</v>
      </c>
    </row>
    <row r="175" hidden="1" spans="2:3">
      <c r="B175" t="s">
        <v>227</v>
      </c>
      <c r="C175">
        <v>475</v>
      </c>
    </row>
    <row r="176" hidden="1" spans="2:3">
      <c r="B176" t="s">
        <v>228</v>
      </c>
      <c r="C176">
        <v>1</v>
      </c>
    </row>
    <row r="177" hidden="1" spans="2:3">
      <c r="B177" t="s">
        <v>70</v>
      </c>
      <c r="C177">
        <v>11</v>
      </c>
    </row>
    <row r="178" hidden="1" spans="2:3">
      <c r="B178" t="s">
        <v>229</v>
      </c>
      <c r="C178">
        <v>4</v>
      </c>
    </row>
    <row r="179" hidden="1" spans="2:3">
      <c r="B179" t="s">
        <v>230</v>
      </c>
      <c r="C179">
        <v>14</v>
      </c>
    </row>
    <row r="180" hidden="1" spans="2:3">
      <c r="B180" t="s">
        <v>231</v>
      </c>
      <c r="C180">
        <v>40</v>
      </c>
    </row>
    <row r="181" hidden="1" spans="2:3">
      <c r="B181" t="s">
        <v>121</v>
      </c>
      <c r="C181">
        <v>0</v>
      </c>
    </row>
    <row r="182" hidden="1" spans="2:3">
      <c r="B182" t="s">
        <v>168</v>
      </c>
      <c r="C182">
        <v>67</v>
      </c>
    </row>
    <row r="183" hidden="1" spans="2:3">
      <c r="B183" t="s">
        <v>232</v>
      </c>
      <c r="C183">
        <v>8</v>
      </c>
    </row>
    <row r="184" hidden="1" spans="2:3">
      <c r="B184" t="s">
        <v>233</v>
      </c>
      <c r="C184">
        <v>137</v>
      </c>
    </row>
    <row r="185" hidden="1" spans="2:3">
      <c r="B185" t="s">
        <v>74</v>
      </c>
      <c r="C185">
        <v>11</v>
      </c>
    </row>
    <row r="186" hidden="1" spans="2:3">
      <c r="B186" t="s">
        <v>126</v>
      </c>
      <c r="C186">
        <v>3</v>
      </c>
    </row>
    <row r="187" hidden="1" spans="2:3">
      <c r="B187" t="s">
        <v>128</v>
      </c>
      <c r="C187">
        <v>10</v>
      </c>
    </row>
    <row r="188" hidden="1" spans="2:3">
      <c r="B188" t="s">
        <v>234</v>
      </c>
      <c r="C188">
        <v>10</v>
      </c>
    </row>
    <row r="189" hidden="1" spans="2:3">
      <c r="B189" t="s">
        <v>235</v>
      </c>
      <c r="C189">
        <v>2</v>
      </c>
    </row>
    <row r="190" hidden="1" spans="2:3">
      <c r="B190" t="s">
        <v>130</v>
      </c>
      <c r="C190">
        <v>1</v>
      </c>
    </row>
    <row r="191" hidden="1" spans="2:3">
      <c r="B191" t="s">
        <v>161</v>
      </c>
      <c r="C191">
        <v>1</v>
      </c>
    </row>
    <row r="192" hidden="1" spans="2:3">
      <c r="B192" t="s">
        <v>236</v>
      </c>
      <c r="C192">
        <v>18</v>
      </c>
    </row>
    <row r="193" hidden="1" spans="2:3">
      <c r="B193" t="s">
        <v>237</v>
      </c>
      <c r="C193">
        <v>0</v>
      </c>
    </row>
    <row r="194" hidden="1" spans="2:3">
      <c r="B194" t="s">
        <v>170</v>
      </c>
      <c r="C194">
        <v>0</v>
      </c>
    </row>
    <row r="195" hidden="1" spans="2:3">
      <c r="B195" t="s">
        <v>190</v>
      </c>
      <c r="C195">
        <v>5</v>
      </c>
    </row>
    <row r="196" hidden="1" spans="2:3">
      <c r="B196" t="s">
        <v>79</v>
      </c>
      <c r="C196">
        <v>16</v>
      </c>
    </row>
    <row r="197" hidden="1" spans="2:3">
      <c r="B197" t="s">
        <v>81</v>
      </c>
      <c r="C197">
        <v>44</v>
      </c>
    </row>
    <row r="198" hidden="1" spans="2:3">
      <c r="B198" t="s">
        <v>82</v>
      </c>
      <c r="C198">
        <v>26</v>
      </c>
    </row>
    <row r="199" hidden="1" spans="2:3">
      <c r="B199" t="s">
        <v>50</v>
      </c>
      <c r="C199">
        <v>8</v>
      </c>
    </row>
    <row r="200" spans="2:3">
      <c r="B200" t="s">
        <v>84</v>
      </c>
      <c r="C200">
        <v>2192</v>
      </c>
    </row>
    <row r="201" hidden="1" spans="2:3">
      <c r="B201" t="s">
        <v>238</v>
      </c>
      <c r="C201">
        <v>585</v>
      </c>
    </row>
    <row r="202" hidden="1" spans="2:3">
      <c r="B202" t="s">
        <v>134</v>
      </c>
      <c r="C202">
        <v>12</v>
      </c>
    </row>
    <row r="203" hidden="1" spans="2:3">
      <c r="B203" t="s">
        <v>239</v>
      </c>
      <c r="C203">
        <v>742</v>
      </c>
    </row>
    <row r="204" hidden="1" spans="2:3">
      <c r="B204" t="s">
        <v>135</v>
      </c>
      <c r="C204">
        <v>58</v>
      </c>
    </row>
    <row r="205" hidden="1" spans="2:3">
      <c r="B205" t="s">
        <v>136</v>
      </c>
      <c r="C205">
        <v>4</v>
      </c>
    </row>
    <row r="206" hidden="1" spans="2:3">
      <c r="B206" t="s">
        <v>137</v>
      </c>
      <c r="C206">
        <v>1</v>
      </c>
    </row>
    <row r="207" hidden="1" spans="2:3">
      <c r="B207" t="s">
        <v>139</v>
      </c>
      <c r="C207">
        <v>7</v>
      </c>
    </row>
    <row r="208" hidden="1" spans="2:3">
      <c r="B208" t="s">
        <v>174</v>
      </c>
      <c r="C208">
        <v>192</v>
      </c>
    </row>
    <row r="209" hidden="1" spans="2:3">
      <c r="B209" t="s">
        <v>143</v>
      </c>
      <c r="C209">
        <v>187</v>
      </c>
    </row>
    <row r="210" hidden="1" spans="2:3">
      <c r="B210" t="s">
        <v>240</v>
      </c>
      <c r="C210">
        <v>525</v>
      </c>
    </row>
    <row r="211" hidden="1" spans="2:3">
      <c r="B211" t="s">
        <v>241</v>
      </c>
      <c r="C211">
        <v>0</v>
      </c>
    </row>
    <row r="212" hidden="1" spans="2:3">
      <c r="B212" t="s">
        <v>242</v>
      </c>
      <c r="C212">
        <v>4</v>
      </c>
    </row>
    <row r="213" hidden="1" spans="2:3">
      <c r="B213" t="s">
        <v>243</v>
      </c>
      <c r="C213">
        <v>145</v>
      </c>
    </row>
    <row r="214" hidden="1" spans="2:3">
      <c r="B214" t="s">
        <v>244</v>
      </c>
      <c r="C214">
        <v>2</v>
      </c>
    </row>
    <row r="215" hidden="1" spans="2:3">
      <c r="B215" t="s">
        <v>214</v>
      </c>
      <c r="C215">
        <v>3</v>
      </c>
    </row>
    <row r="216" hidden="1" spans="2:3">
      <c r="B216" t="s">
        <v>245</v>
      </c>
      <c r="C216">
        <v>2</v>
      </c>
    </row>
    <row r="217" hidden="1" spans="2:3">
      <c r="B217" t="s">
        <v>246</v>
      </c>
      <c r="C217">
        <v>0</v>
      </c>
    </row>
    <row r="218" hidden="1" spans="2:3">
      <c r="B218" t="s">
        <v>247</v>
      </c>
      <c r="C218">
        <v>10</v>
      </c>
    </row>
    <row r="219" hidden="1" spans="2:3">
      <c r="B219" t="s">
        <v>248</v>
      </c>
      <c r="C219">
        <v>7</v>
      </c>
    </row>
    <row r="220" spans="1:3">
      <c r="A220" t="s">
        <v>249</v>
      </c>
      <c r="C220">
        <v>8465</v>
      </c>
    </row>
    <row r="221" hidden="1" spans="1:3">
      <c r="A221" t="s">
        <v>250</v>
      </c>
      <c r="B221" t="s">
        <v>219</v>
      </c>
      <c r="C221">
        <v>542</v>
      </c>
    </row>
    <row r="222" hidden="1" spans="2:3">
      <c r="B222" t="s">
        <v>222</v>
      </c>
      <c r="C222">
        <v>30</v>
      </c>
    </row>
    <row r="223" hidden="1" spans="2:3">
      <c r="B223" t="s">
        <v>223</v>
      </c>
      <c r="C223">
        <v>12</v>
      </c>
    </row>
    <row r="224" hidden="1" spans="2:3">
      <c r="B224" t="s">
        <v>228</v>
      </c>
      <c r="C224">
        <v>442</v>
      </c>
    </row>
    <row r="225" spans="2:3">
      <c r="B225" t="s">
        <v>70</v>
      </c>
      <c r="C225">
        <v>2014</v>
      </c>
    </row>
    <row r="226" hidden="1" spans="2:3">
      <c r="B226" t="s">
        <v>251</v>
      </c>
      <c r="C226">
        <v>549</v>
      </c>
    </row>
    <row r="227" hidden="1" spans="2:3">
      <c r="B227" t="s">
        <v>229</v>
      </c>
      <c r="C227">
        <v>50</v>
      </c>
    </row>
    <row r="228" hidden="1" spans="2:3">
      <c r="B228" t="s">
        <v>252</v>
      </c>
      <c r="C228">
        <v>3</v>
      </c>
    </row>
    <row r="229" hidden="1" spans="2:3">
      <c r="B229" t="s">
        <v>253</v>
      </c>
      <c r="C229">
        <v>17</v>
      </c>
    </row>
    <row r="230" hidden="1" spans="2:3">
      <c r="B230" t="s">
        <v>254</v>
      </c>
      <c r="C230">
        <v>360</v>
      </c>
    </row>
    <row r="231" hidden="1" spans="2:3">
      <c r="B231" t="s">
        <v>230</v>
      </c>
      <c r="C231">
        <v>2</v>
      </c>
    </row>
    <row r="232" hidden="1" spans="2:3">
      <c r="B232" t="s">
        <v>168</v>
      </c>
      <c r="C232">
        <v>142</v>
      </c>
    </row>
    <row r="233" hidden="1" spans="2:3">
      <c r="B233" t="s">
        <v>255</v>
      </c>
      <c r="C233">
        <v>33</v>
      </c>
    </row>
    <row r="234" hidden="1" spans="2:3">
      <c r="B234" t="s">
        <v>233</v>
      </c>
      <c r="C234">
        <v>8</v>
      </c>
    </row>
    <row r="235" hidden="1" spans="2:3">
      <c r="B235" t="s">
        <v>256</v>
      </c>
      <c r="C235">
        <v>17</v>
      </c>
    </row>
    <row r="236" hidden="1" spans="2:3">
      <c r="B236" t="s">
        <v>257</v>
      </c>
      <c r="C236">
        <v>1</v>
      </c>
    </row>
    <row r="237" hidden="1" spans="2:3">
      <c r="B237" t="s">
        <v>234</v>
      </c>
      <c r="C237">
        <v>2</v>
      </c>
    </row>
    <row r="238" hidden="1" spans="2:3">
      <c r="B238" t="s">
        <v>235</v>
      </c>
      <c r="C238">
        <v>2</v>
      </c>
    </row>
    <row r="239" hidden="1" spans="2:3">
      <c r="B239" t="s">
        <v>130</v>
      </c>
      <c r="C239">
        <v>3</v>
      </c>
    </row>
    <row r="240" hidden="1" spans="2:3">
      <c r="B240" t="s">
        <v>169</v>
      </c>
      <c r="C240">
        <v>38</v>
      </c>
    </row>
    <row r="241" hidden="1" spans="2:3">
      <c r="B241" t="s">
        <v>161</v>
      </c>
      <c r="C241">
        <v>15</v>
      </c>
    </row>
    <row r="242" hidden="1" spans="2:3">
      <c r="B242" t="s">
        <v>77</v>
      </c>
      <c r="C242">
        <v>4</v>
      </c>
    </row>
    <row r="243" hidden="1" spans="2:3">
      <c r="B243" t="s">
        <v>236</v>
      </c>
      <c r="C243">
        <v>43</v>
      </c>
    </row>
    <row r="244" hidden="1" spans="2:3">
      <c r="B244" t="s">
        <v>237</v>
      </c>
      <c r="C244">
        <v>6</v>
      </c>
    </row>
    <row r="245" hidden="1" spans="2:3">
      <c r="B245" t="s">
        <v>134</v>
      </c>
      <c r="C245">
        <v>1</v>
      </c>
    </row>
    <row r="246" hidden="1" spans="2:3">
      <c r="B246" t="s">
        <v>174</v>
      </c>
      <c r="C246">
        <v>4</v>
      </c>
    </row>
    <row r="247" hidden="1" spans="2:3">
      <c r="B247" t="s">
        <v>143</v>
      </c>
      <c r="C247">
        <v>110</v>
      </c>
    </row>
    <row r="248" hidden="1" spans="2:3">
      <c r="B248" t="s">
        <v>258</v>
      </c>
      <c r="C248">
        <v>0</v>
      </c>
    </row>
    <row r="249" hidden="1" spans="2:3">
      <c r="B249" t="s">
        <v>259</v>
      </c>
      <c r="C249">
        <v>1</v>
      </c>
    </row>
    <row r="250" hidden="1" spans="2:3">
      <c r="B250" t="s">
        <v>260</v>
      </c>
      <c r="C250">
        <v>2</v>
      </c>
    </row>
    <row r="251" hidden="1" spans="2:3">
      <c r="B251" t="s">
        <v>261</v>
      </c>
      <c r="C251">
        <v>38</v>
      </c>
    </row>
    <row r="252" hidden="1" spans="2:3">
      <c r="B252" t="s">
        <v>242</v>
      </c>
      <c r="C252">
        <v>1</v>
      </c>
    </row>
    <row r="253" hidden="1" spans="2:3">
      <c r="B253" t="s">
        <v>262</v>
      </c>
      <c r="C253">
        <v>1</v>
      </c>
    </row>
    <row r="254" hidden="1" spans="2:3">
      <c r="B254" t="s">
        <v>263</v>
      </c>
      <c r="C254">
        <v>2</v>
      </c>
    </row>
    <row r="255" hidden="1" spans="2:3">
      <c r="B255" t="s">
        <v>154</v>
      </c>
      <c r="C255">
        <v>0</v>
      </c>
    </row>
    <row r="256" hidden="1" spans="2:3">
      <c r="B256" t="s">
        <v>264</v>
      </c>
      <c r="C256">
        <v>2</v>
      </c>
    </row>
    <row r="257" hidden="1" spans="2:3">
      <c r="B257" t="s">
        <v>245</v>
      </c>
      <c r="C257">
        <v>2</v>
      </c>
    </row>
    <row r="258" hidden="1" spans="2:3">
      <c r="B258" t="s">
        <v>265</v>
      </c>
      <c r="C258">
        <v>16</v>
      </c>
    </row>
    <row r="259" hidden="1" spans="2:3">
      <c r="B259" t="s">
        <v>266</v>
      </c>
      <c r="C259">
        <v>2</v>
      </c>
    </row>
    <row r="260" hidden="1" spans="2:3">
      <c r="B260" t="s">
        <v>248</v>
      </c>
      <c r="C260">
        <v>4</v>
      </c>
    </row>
    <row r="261" spans="1:3">
      <c r="A261" t="s">
        <v>267</v>
      </c>
      <c r="C261">
        <v>4521</v>
      </c>
    </row>
    <row r="262" hidden="1" spans="1:3">
      <c r="A262" t="s">
        <v>268</v>
      </c>
      <c r="B262" t="s">
        <v>269</v>
      </c>
      <c r="C262">
        <v>9</v>
      </c>
    </row>
    <row r="263" hidden="1" spans="2:3">
      <c r="B263" t="s">
        <v>46</v>
      </c>
      <c r="C263">
        <v>0</v>
      </c>
    </row>
    <row r="264" hidden="1" spans="2:3">
      <c r="B264" t="s">
        <v>270</v>
      </c>
      <c r="C264">
        <v>403</v>
      </c>
    </row>
    <row r="265" hidden="1" spans="2:3">
      <c r="B265" t="s">
        <v>257</v>
      </c>
      <c r="C265">
        <v>49</v>
      </c>
    </row>
    <row r="266" hidden="1" spans="2:3">
      <c r="B266" t="s">
        <v>234</v>
      </c>
      <c r="C266">
        <v>190</v>
      </c>
    </row>
    <row r="267" hidden="1" spans="2:3">
      <c r="B267" t="s">
        <v>235</v>
      </c>
      <c r="C267">
        <v>43</v>
      </c>
    </row>
    <row r="268" hidden="1" spans="2:3">
      <c r="B268" t="s">
        <v>130</v>
      </c>
      <c r="C268">
        <v>48</v>
      </c>
    </row>
    <row r="269" hidden="1" spans="2:3">
      <c r="B269" t="s">
        <v>271</v>
      </c>
      <c r="C269">
        <v>1</v>
      </c>
    </row>
    <row r="270" spans="2:3">
      <c r="B270" t="s">
        <v>77</v>
      </c>
      <c r="C270">
        <v>1921</v>
      </c>
    </row>
    <row r="271" hidden="1" spans="2:3">
      <c r="B271" t="s">
        <v>236</v>
      </c>
      <c r="C271">
        <v>1</v>
      </c>
    </row>
    <row r="272" hidden="1" spans="2:3">
      <c r="B272" t="s">
        <v>272</v>
      </c>
      <c r="C272">
        <v>59</v>
      </c>
    </row>
    <row r="273" hidden="1" spans="2:3">
      <c r="B273" t="s">
        <v>273</v>
      </c>
      <c r="C273">
        <v>0</v>
      </c>
    </row>
    <row r="274" hidden="1" spans="2:3">
      <c r="B274" t="s">
        <v>274</v>
      </c>
      <c r="C274">
        <v>23</v>
      </c>
    </row>
    <row r="275" hidden="1" spans="2:3">
      <c r="B275" t="s">
        <v>275</v>
      </c>
      <c r="C275">
        <v>4</v>
      </c>
    </row>
    <row r="276" hidden="1" spans="2:3">
      <c r="B276" t="s">
        <v>276</v>
      </c>
      <c r="C276">
        <v>2</v>
      </c>
    </row>
    <row r="277" hidden="1" spans="2:3">
      <c r="B277" t="s">
        <v>242</v>
      </c>
      <c r="C277">
        <v>5</v>
      </c>
    </row>
    <row r="278" hidden="1" spans="2:3">
      <c r="B278" t="s">
        <v>277</v>
      </c>
      <c r="C278">
        <v>48</v>
      </c>
    </row>
    <row r="279" hidden="1" spans="2:3">
      <c r="B279" t="s">
        <v>278</v>
      </c>
      <c r="C279">
        <v>2</v>
      </c>
    </row>
    <row r="280" hidden="1" spans="2:3">
      <c r="B280" t="s">
        <v>279</v>
      </c>
      <c r="C280">
        <v>283</v>
      </c>
    </row>
    <row r="281" hidden="1" spans="2:3">
      <c r="B281" t="s">
        <v>280</v>
      </c>
      <c r="C281">
        <v>36</v>
      </c>
    </row>
    <row r="282" hidden="1" spans="2:3">
      <c r="B282" t="s">
        <v>281</v>
      </c>
      <c r="C282">
        <v>21</v>
      </c>
    </row>
    <row r="283" hidden="1" spans="2:3">
      <c r="B283" t="s">
        <v>282</v>
      </c>
      <c r="C283">
        <v>17</v>
      </c>
    </row>
    <row r="284" hidden="1" spans="2:3">
      <c r="B284" t="s">
        <v>283</v>
      </c>
      <c r="C284">
        <v>0</v>
      </c>
    </row>
    <row r="285" hidden="1" spans="2:3">
      <c r="B285" t="s">
        <v>284</v>
      </c>
      <c r="C285">
        <v>0</v>
      </c>
    </row>
    <row r="286" hidden="1" spans="2:3">
      <c r="B286" t="s">
        <v>248</v>
      </c>
      <c r="C286">
        <v>350</v>
      </c>
    </row>
    <row r="287" spans="1:3">
      <c r="A287" t="s">
        <v>285</v>
      </c>
      <c r="C287">
        <v>3515</v>
      </c>
    </row>
    <row r="288" hidden="1" spans="1:3">
      <c r="A288" t="s">
        <v>286</v>
      </c>
      <c r="B288" t="s">
        <v>192</v>
      </c>
      <c r="C288">
        <v>92</v>
      </c>
    </row>
    <row r="289" hidden="1" spans="1:3">
      <c r="A289" t="s">
        <v>287</v>
      </c>
      <c r="C289">
        <v>92</v>
      </c>
    </row>
    <row r="290" hidden="1" spans="1:3">
      <c r="A290" t="s">
        <v>288</v>
      </c>
      <c r="B290" t="s">
        <v>289</v>
      </c>
      <c r="C290">
        <v>16</v>
      </c>
    </row>
    <row r="291" hidden="1" spans="2:3">
      <c r="B291" t="s">
        <v>290</v>
      </c>
      <c r="C291">
        <v>6</v>
      </c>
    </row>
    <row r="292" hidden="1" spans="1:3">
      <c r="A292" t="s">
        <v>291</v>
      </c>
      <c r="C292">
        <v>22</v>
      </c>
    </row>
    <row r="293" hidden="1" spans="1:3">
      <c r="A293" t="s">
        <v>292</v>
      </c>
      <c r="B293" t="s">
        <v>77</v>
      </c>
      <c r="C293">
        <v>1</v>
      </c>
    </row>
    <row r="294" hidden="1" spans="2:3">
      <c r="B294" t="s">
        <v>236</v>
      </c>
      <c r="C294">
        <v>1</v>
      </c>
    </row>
    <row r="295" hidden="1" spans="2:3">
      <c r="B295" t="s">
        <v>237</v>
      </c>
      <c r="C295">
        <v>5</v>
      </c>
    </row>
    <row r="296" hidden="1" spans="1:3">
      <c r="A296" t="s">
        <v>293</v>
      </c>
      <c r="C296">
        <v>7</v>
      </c>
    </row>
    <row r="297" hidden="1" spans="1:3">
      <c r="A297" t="s">
        <v>294</v>
      </c>
      <c r="B297" t="s">
        <v>295</v>
      </c>
      <c r="C297">
        <v>0</v>
      </c>
    </row>
    <row r="298" hidden="1" spans="2:3">
      <c r="B298" t="s">
        <v>248</v>
      </c>
      <c r="C298">
        <v>1</v>
      </c>
    </row>
    <row r="299" hidden="1" spans="1:3">
      <c r="A299" t="s">
        <v>296</v>
      </c>
      <c r="C299">
        <v>1</v>
      </c>
    </row>
    <row r="300" spans="1:3">
      <c r="A300" t="s">
        <v>114</v>
      </c>
      <c r="C300">
        <v>320332</v>
      </c>
    </row>
  </sheetData>
  <autoFilter xmlns:etc="http://www.wps.cn/officeDocument/2017/etCustomData" ref="A2:C300" etc:filterBottomFollowUsedRange="0">
    <filterColumn colId="2">
      <customFilters>
        <customFilter operator="greaterThanOrEqual" val="1500"/>
      </custom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Z36"/>
  <sheetViews>
    <sheetView showGridLines="0" zoomScale="85" zoomScaleNormal="85" workbookViewId="0">
      <pane xSplit="2" ySplit="1" topLeftCell="C17" activePane="bottomRight" state="frozen"/>
      <selection/>
      <selection pane="topRight"/>
      <selection pane="bottomLeft"/>
      <selection pane="bottomRight" activeCell="F20" sqref="F20"/>
    </sheetView>
  </sheetViews>
  <sheetFormatPr defaultColWidth="9.13636363636364" defaultRowHeight="14.5"/>
  <cols>
    <col min="1" max="1" width="6.42727272727273" style="213" customWidth="1"/>
    <col min="2" max="2" width="46.5727272727273" style="214" customWidth="1"/>
    <col min="3" max="3" width="50.4272727272727" style="214" customWidth="1"/>
    <col min="4" max="4" width="13.5727272727273" style="213" customWidth="1"/>
    <col min="5" max="5" width="13.5727272727273" style="215" customWidth="1"/>
    <col min="6" max="7" width="13.5727272727273" style="213" customWidth="1"/>
    <col min="8" max="8" width="19.5727272727273" style="213" customWidth="1"/>
    <col min="9" max="9" width="30" style="213" customWidth="1"/>
    <col min="10" max="10" width="15.1363636363636" style="214" customWidth="1"/>
    <col min="11" max="11" width="15.4272727272727" style="214" customWidth="1"/>
    <col min="12" max="13" width="13.5727272727273" style="214" customWidth="1"/>
    <col min="14" max="14" width="11.8545454545455" style="213" customWidth="1"/>
    <col min="15" max="15" width="33.1363636363636" style="214" customWidth="1"/>
    <col min="16" max="16" width="13.5727272727273" style="214" customWidth="1"/>
    <col min="17" max="17" width="12" style="214" customWidth="1"/>
    <col min="18" max="19" width="12.1363636363636" style="213" customWidth="1"/>
    <col min="20" max="20" width="12.1363636363636" style="214" customWidth="1"/>
    <col min="21" max="21" width="11.1363636363636" style="214" customWidth="1"/>
    <col min="22" max="22" width="20.4272727272727" style="214" customWidth="1"/>
    <col min="23" max="26" width="12.1363636363636" style="214" customWidth="1"/>
    <col min="27" max="16384" width="9.13636363636364" style="214"/>
  </cols>
  <sheetData>
    <row r="1" ht="72.5" spans="1:22">
      <c r="A1" s="216" t="s">
        <v>0</v>
      </c>
      <c r="B1" s="217" t="s">
        <v>297</v>
      </c>
      <c r="C1" s="218" t="s">
        <v>298</v>
      </c>
      <c r="D1" s="219" t="s">
        <v>2</v>
      </c>
      <c r="E1" s="220" t="s">
        <v>299</v>
      </c>
      <c r="F1" s="221" t="s">
        <v>300</v>
      </c>
      <c r="G1" s="219" t="s">
        <v>301</v>
      </c>
      <c r="H1" s="219" t="s">
        <v>302</v>
      </c>
      <c r="I1" s="240" t="s">
        <v>303</v>
      </c>
      <c r="J1" s="219" t="s">
        <v>304</v>
      </c>
      <c r="K1" s="218" t="s">
        <v>305</v>
      </c>
      <c r="L1" s="218" t="s">
        <v>306</v>
      </c>
      <c r="M1" s="218" t="s">
        <v>307</v>
      </c>
      <c r="N1" s="219" t="s">
        <v>308</v>
      </c>
      <c r="O1" s="218" t="s">
        <v>309</v>
      </c>
      <c r="P1" s="218" t="s">
        <v>310</v>
      </c>
      <c r="Q1" s="218" t="s">
        <v>311</v>
      </c>
      <c r="R1" s="247" t="s">
        <v>312</v>
      </c>
      <c r="S1" s="247" t="s">
        <v>313</v>
      </c>
      <c r="T1" s="247" t="s">
        <v>314</v>
      </c>
      <c r="U1" s="247" t="s">
        <v>315</v>
      </c>
      <c r="V1" s="247" t="s">
        <v>316</v>
      </c>
    </row>
    <row r="2" ht="29" spans="1:22">
      <c r="A2" s="222">
        <v>1</v>
      </c>
      <c r="B2" s="211" t="s">
        <v>10</v>
      </c>
      <c r="C2" s="211" t="s">
        <v>317</v>
      </c>
      <c r="D2" s="223">
        <v>6089</v>
      </c>
      <c r="E2" s="224">
        <f>D2/12</f>
        <v>507.416666666667</v>
      </c>
      <c r="F2" s="222">
        <v>6</v>
      </c>
      <c r="G2" s="222">
        <f>(E2*F2)/60</f>
        <v>50.7416666666667</v>
      </c>
      <c r="H2" s="222" t="s">
        <v>318</v>
      </c>
      <c r="I2" s="222" t="s">
        <v>319</v>
      </c>
      <c r="J2" s="211" t="s">
        <v>320</v>
      </c>
      <c r="K2" s="211" t="s">
        <v>321</v>
      </c>
      <c r="L2" s="211" t="s">
        <v>322</v>
      </c>
      <c r="M2" s="211" t="s">
        <v>323</v>
      </c>
      <c r="N2" s="222">
        <v>1</v>
      </c>
      <c r="O2" s="211" t="s">
        <v>324</v>
      </c>
      <c r="P2" s="241">
        <v>0.3</v>
      </c>
      <c r="Q2" s="211" t="s">
        <v>325</v>
      </c>
      <c r="R2" s="222" t="s">
        <v>13</v>
      </c>
      <c r="S2" s="222" t="s">
        <v>326</v>
      </c>
      <c r="T2" s="211"/>
      <c r="U2" s="211"/>
      <c r="V2" s="211" t="s">
        <v>327</v>
      </c>
    </row>
    <row r="3" ht="29" spans="1:22">
      <c r="A3" s="222">
        <v>2</v>
      </c>
      <c r="B3" s="211" t="s">
        <v>15</v>
      </c>
      <c r="C3" s="211" t="s">
        <v>328</v>
      </c>
      <c r="D3" s="223">
        <v>3933</v>
      </c>
      <c r="E3" s="224">
        <f>D3/12</f>
        <v>327.75</v>
      </c>
      <c r="F3" s="222">
        <v>5</v>
      </c>
      <c r="G3" s="222">
        <f t="shared" ref="G3:G9" si="0">(E3*F3)/60</f>
        <v>27.3125</v>
      </c>
      <c r="H3" s="222" t="s">
        <v>318</v>
      </c>
      <c r="I3" s="222" t="s">
        <v>319</v>
      </c>
      <c r="J3" s="211" t="s">
        <v>329</v>
      </c>
      <c r="K3" s="211" t="s">
        <v>321</v>
      </c>
      <c r="L3" s="211" t="s">
        <v>322</v>
      </c>
      <c r="M3" s="211" t="s">
        <v>330</v>
      </c>
      <c r="N3" s="222">
        <v>2</v>
      </c>
      <c r="O3" s="211" t="s">
        <v>324</v>
      </c>
      <c r="P3" s="241">
        <v>0.3</v>
      </c>
      <c r="Q3" s="211" t="s">
        <v>325</v>
      </c>
      <c r="R3" s="222" t="s">
        <v>16</v>
      </c>
      <c r="S3" s="222" t="s">
        <v>326</v>
      </c>
      <c r="T3" s="211"/>
      <c r="U3" s="211"/>
      <c r="V3" s="211" t="s">
        <v>327</v>
      </c>
    </row>
    <row r="4" ht="43.5" customHeight="1" spans="1:22">
      <c r="A4" s="222">
        <v>3</v>
      </c>
      <c r="B4" s="211" t="s">
        <v>17</v>
      </c>
      <c r="C4" s="211" t="s">
        <v>331</v>
      </c>
      <c r="D4" s="223">
        <v>10692</v>
      </c>
      <c r="E4" s="224">
        <f>D4/12</f>
        <v>891</v>
      </c>
      <c r="F4" s="222">
        <v>5</v>
      </c>
      <c r="G4" s="222">
        <f t="shared" si="0"/>
        <v>74.25</v>
      </c>
      <c r="H4" s="222" t="s">
        <v>318</v>
      </c>
      <c r="I4" s="222" t="s">
        <v>332</v>
      </c>
      <c r="J4" s="211" t="s">
        <v>333</v>
      </c>
      <c r="K4" s="211" t="s">
        <v>321</v>
      </c>
      <c r="L4" s="211" t="s">
        <v>322</v>
      </c>
      <c r="M4" s="211" t="s">
        <v>334</v>
      </c>
      <c r="N4" s="222">
        <v>3</v>
      </c>
      <c r="O4" s="211" t="s">
        <v>324</v>
      </c>
      <c r="P4" s="241">
        <v>0</v>
      </c>
      <c r="Q4" s="211" t="s">
        <v>325</v>
      </c>
      <c r="R4" s="222" t="s">
        <v>13</v>
      </c>
      <c r="S4" s="222" t="s">
        <v>326</v>
      </c>
      <c r="T4" s="211"/>
      <c r="U4" s="211"/>
      <c r="V4" s="211" t="s">
        <v>327</v>
      </c>
    </row>
    <row r="5" ht="44.45" customHeight="1" spans="1:22">
      <c r="A5" s="222">
        <v>4</v>
      </c>
      <c r="B5" s="211" t="s">
        <v>18</v>
      </c>
      <c r="C5" s="211" t="s">
        <v>335</v>
      </c>
      <c r="D5" s="223">
        <v>7168</v>
      </c>
      <c r="E5" s="224">
        <f>D5/12</f>
        <v>597.333333333333</v>
      </c>
      <c r="F5" s="222">
        <v>10</v>
      </c>
      <c r="G5" s="222">
        <f t="shared" si="0"/>
        <v>99.5555555555556</v>
      </c>
      <c r="H5" s="222" t="s">
        <v>318</v>
      </c>
      <c r="I5" s="222" t="s">
        <v>332</v>
      </c>
      <c r="J5" s="211" t="s">
        <v>333</v>
      </c>
      <c r="K5" s="211" t="s">
        <v>321</v>
      </c>
      <c r="L5" s="211" t="s">
        <v>322</v>
      </c>
      <c r="M5" s="211" t="s">
        <v>336</v>
      </c>
      <c r="N5" s="222">
        <v>4</v>
      </c>
      <c r="O5" s="211" t="s">
        <v>324</v>
      </c>
      <c r="P5" s="241">
        <v>0</v>
      </c>
      <c r="Q5" s="211" t="s">
        <v>325</v>
      </c>
      <c r="R5" s="222" t="s">
        <v>20</v>
      </c>
      <c r="S5" s="222" t="s">
        <v>326</v>
      </c>
      <c r="T5" s="211"/>
      <c r="U5" s="211"/>
      <c r="V5" s="211" t="s">
        <v>337</v>
      </c>
    </row>
    <row r="6" s="210" customFormat="1" ht="29" spans="1:22">
      <c r="A6" s="225">
        <v>5</v>
      </c>
      <c r="B6" s="226" t="s">
        <v>23</v>
      </c>
      <c r="C6" s="227" t="s">
        <v>338</v>
      </c>
      <c r="D6" s="225">
        <v>4</v>
      </c>
      <c r="E6" s="228">
        <f>D6/12</f>
        <v>0.333333333333333</v>
      </c>
      <c r="F6" s="225"/>
      <c r="G6" s="225">
        <f t="shared" si="0"/>
        <v>0</v>
      </c>
      <c r="H6" s="225"/>
      <c r="I6" s="225" t="s">
        <v>319</v>
      </c>
      <c r="J6" s="227"/>
      <c r="K6" s="227"/>
      <c r="L6" s="227"/>
      <c r="M6" s="227"/>
      <c r="N6" s="225">
        <v>5</v>
      </c>
      <c r="O6" s="227" t="s">
        <v>324</v>
      </c>
      <c r="P6" s="242">
        <v>0</v>
      </c>
      <c r="Q6" s="227" t="s">
        <v>325</v>
      </c>
      <c r="R6" s="225"/>
      <c r="S6" s="225"/>
      <c r="T6" s="227"/>
      <c r="U6" s="227"/>
      <c r="V6" s="227"/>
    </row>
    <row r="7" s="210" customFormat="1" ht="29" spans="1:22">
      <c r="A7" s="225">
        <v>6</v>
      </c>
      <c r="B7" s="226" t="s">
        <v>24</v>
      </c>
      <c r="C7" s="227" t="s">
        <v>339</v>
      </c>
      <c r="D7" s="225">
        <v>7</v>
      </c>
      <c r="E7" s="228">
        <f t="shared" ref="E7:E13" si="1">D7/12</f>
        <v>0.583333333333333</v>
      </c>
      <c r="F7" s="225"/>
      <c r="G7" s="225">
        <f t="shared" si="0"/>
        <v>0</v>
      </c>
      <c r="H7" s="225"/>
      <c r="I7" s="225" t="s">
        <v>319</v>
      </c>
      <c r="J7" s="227"/>
      <c r="K7" s="227"/>
      <c r="L7" s="227"/>
      <c r="M7" s="227"/>
      <c r="N7" s="225">
        <v>6</v>
      </c>
      <c r="O7" s="227" t="s">
        <v>324</v>
      </c>
      <c r="P7" s="242">
        <v>0</v>
      </c>
      <c r="Q7" s="227" t="s">
        <v>325</v>
      </c>
      <c r="R7" s="225"/>
      <c r="S7" s="225"/>
      <c r="T7" s="227"/>
      <c r="U7" s="227"/>
      <c r="V7" s="227"/>
    </row>
    <row r="8" s="210" customFormat="1" ht="29" spans="1:22">
      <c r="A8" s="225">
        <v>7</v>
      </c>
      <c r="B8" s="226" t="s">
        <v>25</v>
      </c>
      <c r="C8" s="227" t="s">
        <v>340</v>
      </c>
      <c r="D8" s="225">
        <v>1372</v>
      </c>
      <c r="E8" s="228">
        <f t="shared" si="1"/>
        <v>114.333333333333</v>
      </c>
      <c r="F8" s="225"/>
      <c r="G8" s="225">
        <f t="shared" si="0"/>
        <v>0</v>
      </c>
      <c r="H8" s="225"/>
      <c r="I8" s="225" t="s">
        <v>319</v>
      </c>
      <c r="J8" s="227"/>
      <c r="K8" s="227"/>
      <c r="L8" s="227"/>
      <c r="M8" s="227"/>
      <c r="N8" s="225">
        <v>7</v>
      </c>
      <c r="O8" s="227" t="s">
        <v>324</v>
      </c>
      <c r="P8" s="242">
        <v>0</v>
      </c>
      <c r="Q8" s="227" t="s">
        <v>325</v>
      </c>
      <c r="R8" s="225"/>
      <c r="S8" s="225"/>
      <c r="T8" s="227"/>
      <c r="U8" s="227"/>
      <c r="V8" s="227"/>
    </row>
    <row r="9" ht="29" spans="1:22">
      <c r="A9" s="222">
        <v>8</v>
      </c>
      <c r="B9" s="211" t="s">
        <v>27</v>
      </c>
      <c r="C9" s="211" t="s">
        <v>341</v>
      </c>
      <c r="D9" s="223">
        <v>5170</v>
      </c>
      <c r="E9" s="224">
        <f t="shared" si="1"/>
        <v>430.833333333333</v>
      </c>
      <c r="F9" s="222"/>
      <c r="G9" s="222">
        <f t="shared" si="0"/>
        <v>0</v>
      </c>
      <c r="H9" s="222" t="s">
        <v>318</v>
      </c>
      <c r="I9" s="222" t="s">
        <v>332</v>
      </c>
      <c r="J9" s="211"/>
      <c r="K9" s="211"/>
      <c r="L9" s="211"/>
      <c r="M9" s="211"/>
      <c r="N9" s="222">
        <v>8</v>
      </c>
      <c r="O9" s="211" t="s">
        <v>324</v>
      </c>
      <c r="P9" s="241">
        <v>0</v>
      </c>
      <c r="Q9" s="211" t="s">
        <v>325</v>
      </c>
      <c r="R9" s="222" t="s">
        <v>20</v>
      </c>
      <c r="S9" s="222" t="s">
        <v>326</v>
      </c>
      <c r="T9" s="211"/>
      <c r="U9" s="211"/>
      <c r="V9" s="211"/>
    </row>
    <row r="10" ht="29" spans="1:22">
      <c r="A10" s="222"/>
      <c r="B10" s="211" t="s">
        <v>29</v>
      </c>
      <c r="C10" s="211" t="s">
        <v>342</v>
      </c>
      <c r="D10" s="223">
        <v>1057</v>
      </c>
      <c r="E10" s="224">
        <f t="shared" si="1"/>
        <v>88.0833333333333</v>
      </c>
      <c r="F10" s="222">
        <v>5</v>
      </c>
      <c r="G10" s="222">
        <f>ROUNDUP((E10*F10)/60,2)</f>
        <v>7.35</v>
      </c>
      <c r="H10" s="222" t="s">
        <v>343</v>
      </c>
      <c r="I10" s="222" t="s">
        <v>344</v>
      </c>
      <c r="J10" s="211"/>
      <c r="K10" s="211"/>
      <c r="L10" s="211"/>
      <c r="M10" s="211"/>
      <c r="N10" s="222"/>
      <c r="O10" s="211" t="s">
        <v>324</v>
      </c>
      <c r="P10" s="241"/>
      <c r="Q10" s="211" t="s">
        <v>325</v>
      </c>
      <c r="R10" s="222" t="s">
        <v>13</v>
      </c>
      <c r="S10" s="222" t="s">
        <v>345</v>
      </c>
      <c r="T10" s="211"/>
      <c r="U10" s="211"/>
      <c r="V10" s="211"/>
    </row>
    <row r="11" ht="29" spans="1:22">
      <c r="A11" s="222"/>
      <c r="B11" s="211" t="s">
        <v>30</v>
      </c>
      <c r="C11" s="211" t="s">
        <v>346</v>
      </c>
      <c r="D11" s="223">
        <v>5159</v>
      </c>
      <c r="E11" s="224">
        <f t="shared" si="1"/>
        <v>429.916666666667</v>
      </c>
      <c r="F11" s="222">
        <v>20</v>
      </c>
      <c r="G11" s="222">
        <f t="shared" ref="G11:G34" si="2">ROUNDUP((E11*F11)/60,2)</f>
        <v>143.31</v>
      </c>
      <c r="H11" s="222" t="s">
        <v>343</v>
      </c>
      <c r="I11" s="222" t="s">
        <v>344</v>
      </c>
      <c r="J11" s="211"/>
      <c r="K11" s="211"/>
      <c r="L11" s="211"/>
      <c r="M11" s="211"/>
      <c r="N11" s="222"/>
      <c r="O11" s="211" t="s">
        <v>324</v>
      </c>
      <c r="P11" s="241"/>
      <c r="Q11" s="211" t="s">
        <v>325</v>
      </c>
      <c r="R11" s="222" t="s">
        <v>20</v>
      </c>
      <c r="S11" s="222" t="s">
        <v>326</v>
      </c>
      <c r="T11" s="211"/>
      <c r="U11" s="211"/>
      <c r="V11" s="211"/>
    </row>
    <row r="12" ht="29" spans="1:22">
      <c r="A12" s="222"/>
      <c r="B12" s="211" t="s">
        <v>32</v>
      </c>
      <c r="C12" s="211" t="s">
        <v>347</v>
      </c>
      <c r="D12" s="223">
        <v>573</v>
      </c>
      <c r="E12" s="224">
        <f t="shared" si="1"/>
        <v>47.75</v>
      </c>
      <c r="F12" s="222">
        <v>10</v>
      </c>
      <c r="G12" s="222">
        <f t="shared" si="2"/>
        <v>7.96</v>
      </c>
      <c r="H12" s="222" t="s">
        <v>343</v>
      </c>
      <c r="I12" s="222" t="s">
        <v>344</v>
      </c>
      <c r="J12" s="211"/>
      <c r="K12" s="211"/>
      <c r="L12" s="211"/>
      <c r="M12" s="211"/>
      <c r="N12" s="222"/>
      <c r="O12" s="211" t="s">
        <v>324</v>
      </c>
      <c r="P12" s="241"/>
      <c r="Q12" s="211" t="s">
        <v>325</v>
      </c>
      <c r="R12" s="222" t="s">
        <v>20</v>
      </c>
      <c r="S12" s="222" t="s">
        <v>345</v>
      </c>
      <c r="T12" s="211"/>
      <c r="U12" s="211"/>
      <c r="V12" s="211"/>
    </row>
    <row r="13" ht="29" spans="1:22">
      <c r="A13" s="222">
        <v>9</v>
      </c>
      <c r="B13" s="211" t="s">
        <v>33</v>
      </c>
      <c r="C13" s="211"/>
      <c r="D13" s="223">
        <v>10119</v>
      </c>
      <c r="E13" s="224">
        <f t="shared" si="1"/>
        <v>843.25</v>
      </c>
      <c r="F13" s="222">
        <v>5</v>
      </c>
      <c r="G13" s="222">
        <f t="shared" si="2"/>
        <v>70.28</v>
      </c>
      <c r="H13" s="222" t="s">
        <v>318</v>
      </c>
      <c r="I13" s="222" t="s">
        <v>332</v>
      </c>
      <c r="J13" s="211"/>
      <c r="K13" s="211" t="s">
        <v>321</v>
      </c>
      <c r="L13" s="211"/>
      <c r="M13" s="211"/>
      <c r="N13" s="222"/>
      <c r="O13" s="211" t="s">
        <v>324</v>
      </c>
      <c r="P13" s="243">
        <v>0.6</v>
      </c>
      <c r="Q13" s="211" t="s">
        <v>34</v>
      </c>
      <c r="R13" s="248" t="s">
        <v>20</v>
      </c>
      <c r="S13" s="248" t="s">
        <v>326</v>
      </c>
      <c r="T13" s="249"/>
      <c r="U13" s="249"/>
      <c r="V13" s="211"/>
    </row>
    <row r="14" ht="29" spans="1:22">
      <c r="A14" s="222">
        <v>10</v>
      </c>
      <c r="B14" s="211" t="s">
        <v>37</v>
      </c>
      <c r="C14" s="211" t="s">
        <v>348</v>
      </c>
      <c r="D14" s="223">
        <v>14504</v>
      </c>
      <c r="E14" s="224">
        <f t="shared" ref="E14:E26" si="3">D14/12</f>
        <v>1208.66666666667</v>
      </c>
      <c r="F14" s="222">
        <v>10</v>
      </c>
      <c r="G14" s="222">
        <f t="shared" si="2"/>
        <v>201.45</v>
      </c>
      <c r="H14" s="222" t="s">
        <v>318</v>
      </c>
      <c r="I14" s="222" t="s">
        <v>349</v>
      </c>
      <c r="J14" s="211"/>
      <c r="K14" s="211" t="s">
        <v>321</v>
      </c>
      <c r="L14" s="211"/>
      <c r="M14" s="211"/>
      <c r="N14" s="222"/>
      <c r="O14" s="211" t="s">
        <v>324</v>
      </c>
      <c r="P14" s="243">
        <v>0.2</v>
      </c>
      <c r="Q14" s="211" t="s">
        <v>34</v>
      </c>
      <c r="R14" s="248" t="s">
        <v>20</v>
      </c>
      <c r="S14" s="248" t="s">
        <v>326</v>
      </c>
      <c r="T14" s="249"/>
      <c r="U14" s="249"/>
      <c r="V14" s="211"/>
    </row>
    <row r="15" ht="29" spans="1:22">
      <c r="A15" s="222">
        <v>11</v>
      </c>
      <c r="B15" s="211" t="s">
        <v>38</v>
      </c>
      <c r="C15" s="211" t="s">
        <v>350</v>
      </c>
      <c r="D15" s="223">
        <v>7232</v>
      </c>
      <c r="E15" s="224">
        <f t="shared" si="3"/>
        <v>602.666666666667</v>
      </c>
      <c r="F15" s="222">
        <v>15</v>
      </c>
      <c r="G15" s="222">
        <f t="shared" si="2"/>
        <v>150.67</v>
      </c>
      <c r="H15" s="222" t="s">
        <v>318</v>
      </c>
      <c r="I15" s="222" t="s">
        <v>344</v>
      </c>
      <c r="J15" s="211"/>
      <c r="K15" s="211" t="s">
        <v>321</v>
      </c>
      <c r="L15" s="211"/>
      <c r="M15" s="211"/>
      <c r="N15" s="222"/>
      <c r="O15" s="211" t="s">
        <v>351</v>
      </c>
      <c r="P15" s="243">
        <v>0.2</v>
      </c>
      <c r="Q15" s="211" t="s">
        <v>34</v>
      </c>
      <c r="R15" s="248" t="s">
        <v>20</v>
      </c>
      <c r="S15" s="248" t="s">
        <v>326</v>
      </c>
      <c r="T15" s="249"/>
      <c r="U15" s="249"/>
      <c r="V15" s="211"/>
    </row>
    <row r="16" ht="29" spans="1:22">
      <c r="A16" s="222">
        <v>12</v>
      </c>
      <c r="B16" s="211" t="s">
        <v>39</v>
      </c>
      <c r="C16" s="211" t="s">
        <v>352</v>
      </c>
      <c r="D16" s="223">
        <v>5337</v>
      </c>
      <c r="E16" s="224">
        <f t="shared" si="3"/>
        <v>444.75</v>
      </c>
      <c r="F16" s="222">
        <v>5</v>
      </c>
      <c r="G16" s="222">
        <f t="shared" si="2"/>
        <v>37.07</v>
      </c>
      <c r="H16" s="222" t="s">
        <v>318</v>
      </c>
      <c r="I16" s="222"/>
      <c r="J16" s="211"/>
      <c r="K16" s="211" t="s">
        <v>321</v>
      </c>
      <c r="L16" s="211"/>
      <c r="M16" s="211"/>
      <c r="N16" s="222"/>
      <c r="O16" s="211" t="s">
        <v>351</v>
      </c>
      <c r="P16" s="243">
        <v>0</v>
      </c>
      <c r="Q16" s="211" t="s">
        <v>325</v>
      </c>
      <c r="R16" s="250" t="s">
        <v>353</v>
      </c>
      <c r="S16" s="248" t="s">
        <v>326</v>
      </c>
      <c r="T16" s="249"/>
      <c r="U16" s="249"/>
      <c r="V16" s="211"/>
    </row>
    <row r="17" ht="29" spans="1:22">
      <c r="A17" s="222">
        <v>13</v>
      </c>
      <c r="B17" s="229" t="s">
        <v>41</v>
      </c>
      <c r="C17" s="211"/>
      <c r="D17" s="222">
        <v>8925</v>
      </c>
      <c r="E17" s="224">
        <f t="shared" si="3"/>
        <v>743.75</v>
      </c>
      <c r="F17" s="222">
        <v>25</v>
      </c>
      <c r="G17" s="222">
        <f t="shared" si="2"/>
        <v>309.9</v>
      </c>
      <c r="H17" s="222"/>
      <c r="I17" s="222" t="s">
        <v>332</v>
      </c>
      <c r="J17" s="211"/>
      <c r="K17" s="211"/>
      <c r="L17" s="211"/>
      <c r="M17" s="211"/>
      <c r="N17" s="222"/>
      <c r="O17" s="211" t="s">
        <v>351</v>
      </c>
      <c r="P17" s="243">
        <v>0.9</v>
      </c>
      <c r="Q17" s="211" t="s">
        <v>34</v>
      </c>
      <c r="R17" s="248" t="s">
        <v>20</v>
      </c>
      <c r="S17" s="248"/>
      <c r="T17" s="249"/>
      <c r="U17" s="249"/>
      <c r="V17" s="211"/>
    </row>
    <row r="18" ht="29" spans="1:22">
      <c r="A18" s="222">
        <v>14</v>
      </c>
      <c r="B18" s="211" t="s">
        <v>43</v>
      </c>
      <c r="C18" s="211" t="s">
        <v>354</v>
      </c>
      <c r="D18" s="223">
        <v>3695</v>
      </c>
      <c r="E18" s="224">
        <f t="shared" si="3"/>
        <v>307.916666666667</v>
      </c>
      <c r="F18" s="222">
        <v>8</v>
      </c>
      <c r="G18" s="222">
        <f t="shared" si="2"/>
        <v>41.06</v>
      </c>
      <c r="H18" s="222" t="s">
        <v>355</v>
      </c>
      <c r="I18" s="222"/>
      <c r="J18" s="211"/>
      <c r="K18" s="211" t="s">
        <v>321</v>
      </c>
      <c r="L18" s="211"/>
      <c r="M18" s="211" t="s">
        <v>356</v>
      </c>
      <c r="N18" s="222"/>
      <c r="O18" s="211" t="s">
        <v>351</v>
      </c>
      <c r="P18" s="243">
        <v>0.9</v>
      </c>
      <c r="Q18" s="211" t="s">
        <v>34</v>
      </c>
      <c r="R18" s="248" t="s">
        <v>13</v>
      </c>
      <c r="S18" s="248" t="s">
        <v>13</v>
      </c>
      <c r="T18" s="249"/>
      <c r="U18" s="249"/>
      <c r="V18" s="211"/>
    </row>
    <row r="19" ht="43.5" spans="1:22">
      <c r="A19" s="222">
        <v>15</v>
      </c>
      <c r="B19" s="229" t="s">
        <v>45</v>
      </c>
      <c r="C19" s="211"/>
      <c r="D19" s="222">
        <v>5854</v>
      </c>
      <c r="E19" s="224">
        <f t="shared" si="3"/>
        <v>487.833333333333</v>
      </c>
      <c r="F19" s="222">
        <v>25</v>
      </c>
      <c r="G19" s="222">
        <f t="shared" si="2"/>
        <v>203.27</v>
      </c>
      <c r="H19" s="222"/>
      <c r="I19" s="222" t="s">
        <v>332</v>
      </c>
      <c r="J19" s="211"/>
      <c r="K19" s="211"/>
      <c r="L19" s="211"/>
      <c r="M19" s="211"/>
      <c r="N19" s="222"/>
      <c r="O19" s="211" t="s">
        <v>357</v>
      </c>
      <c r="P19" s="243">
        <v>0.9</v>
      </c>
      <c r="Q19" s="211" t="s">
        <v>34</v>
      </c>
      <c r="R19" s="248"/>
      <c r="S19" s="248"/>
      <c r="T19" s="249"/>
      <c r="U19" s="249"/>
      <c r="V19" s="211"/>
    </row>
    <row r="20" ht="29" spans="1:22">
      <c r="A20" s="222">
        <v>16</v>
      </c>
      <c r="B20" s="211" t="s">
        <v>46</v>
      </c>
      <c r="C20" s="211" t="s">
        <v>358</v>
      </c>
      <c r="D20" s="223">
        <v>2981</v>
      </c>
      <c r="E20" s="224">
        <f t="shared" si="3"/>
        <v>248.416666666667</v>
      </c>
      <c r="F20" s="222">
        <v>7</v>
      </c>
      <c r="G20" s="222">
        <f t="shared" si="2"/>
        <v>28.99</v>
      </c>
      <c r="H20" s="222" t="s">
        <v>318</v>
      </c>
      <c r="I20" s="222" t="s">
        <v>359</v>
      </c>
      <c r="J20" s="211"/>
      <c r="K20" s="211" t="s">
        <v>321</v>
      </c>
      <c r="L20" s="211"/>
      <c r="M20" s="211"/>
      <c r="N20" s="222"/>
      <c r="O20" s="211" t="s">
        <v>351</v>
      </c>
      <c r="P20" s="243">
        <v>0.9</v>
      </c>
      <c r="Q20" s="211" t="s">
        <v>34</v>
      </c>
      <c r="R20" s="248" t="s">
        <v>20</v>
      </c>
      <c r="S20" s="248" t="s">
        <v>326</v>
      </c>
      <c r="T20" s="249"/>
      <c r="U20" s="249"/>
      <c r="V20" s="211"/>
    </row>
    <row r="21" ht="58" spans="1:22">
      <c r="A21" s="222">
        <v>17</v>
      </c>
      <c r="B21" s="211" t="s">
        <v>48</v>
      </c>
      <c r="C21" s="211" t="s">
        <v>360</v>
      </c>
      <c r="D21" s="223">
        <v>495</v>
      </c>
      <c r="E21" s="224">
        <f t="shared" si="3"/>
        <v>41.25</v>
      </c>
      <c r="F21" s="222">
        <v>10</v>
      </c>
      <c r="G21" s="222">
        <f t="shared" si="2"/>
        <v>6.88</v>
      </c>
      <c r="H21" s="222" t="s">
        <v>355</v>
      </c>
      <c r="I21" s="222" t="s">
        <v>359</v>
      </c>
      <c r="J21" s="211"/>
      <c r="K21" s="211" t="s">
        <v>321</v>
      </c>
      <c r="L21" s="211"/>
      <c r="M21" s="211"/>
      <c r="N21" s="222"/>
      <c r="O21" s="211" t="s">
        <v>351</v>
      </c>
      <c r="P21" s="243">
        <v>0.9</v>
      </c>
      <c r="Q21" s="211" t="s">
        <v>34</v>
      </c>
      <c r="R21" s="248" t="s">
        <v>13</v>
      </c>
      <c r="S21" s="248" t="s">
        <v>326</v>
      </c>
      <c r="T21" s="249"/>
      <c r="U21" s="249"/>
      <c r="V21" s="211"/>
    </row>
    <row r="22" ht="29" spans="1:22">
      <c r="A22" s="222">
        <v>18</v>
      </c>
      <c r="B22" s="211" t="s">
        <v>49</v>
      </c>
      <c r="C22" s="211" t="s">
        <v>361</v>
      </c>
      <c r="D22" s="223">
        <v>1277</v>
      </c>
      <c r="E22" s="224">
        <f t="shared" si="3"/>
        <v>106.416666666667</v>
      </c>
      <c r="F22" s="222">
        <v>20</v>
      </c>
      <c r="G22" s="222">
        <f t="shared" si="2"/>
        <v>35.48</v>
      </c>
      <c r="H22" s="222" t="s">
        <v>355</v>
      </c>
      <c r="I22" s="222" t="s">
        <v>319</v>
      </c>
      <c r="J22" s="211"/>
      <c r="K22" s="211" t="s">
        <v>321</v>
      </c>
      <c r="L22" s="211"/>
      <c r="M22" s="211"/>
      <c r="N22" s="222"/>
      <c r="O22" s="211" t="s">
        <v>362</v>
      </c>
      <c r="P22" s="243">
        <v>0</v>
      </c>
      <c r="Q22" s="211" t="s">
        <v>325</v>
      </c>
      <c r="R22" s="248"/>
      <c r="S22" s="248" t="s">
        <v>13</v>
      </c>
      <c r="T22" s="249"/>
      <c r="U22" s="249"/>
      <c r="V22" s="211"/>
    </row>
    <row r="23" ht="43.5" spans="1:22">
      <c r="A23" s="222">
        <v>19</v>
      </c>
      <c r="B23" s="211" t="s">
        <v>50</v>
      </c>
      <c r="C23" s="211" t="s">
        <v>363</v>
      </c>
      <c r="D23" s="223">
        <v>4243</v>
      </c>
      <c r="E23" s="224">
        <f t="shared" si="3"/>
        <v>353.583333333333</v>
      </c>
      <c r="F23" s="222">
        <v>12</v>
      </c>
      <c r="G23" s="222">
        <f t="shared" si="2"/>
        <v>70.72</v>
      </c>
      <c r="H23" s="222" t="s">
        <v>364</v>
      </c>
      <c r="I23" s="222" t="s">
        <v>319</v>
      </c>
      <c r="J23" s="211"/>
      <c r="K23" s="211" t="s">
        <v>321</v>
      </c>
      <c r="L23" s="211"/>
      <c r="M23" s="211" t="s">
        <v>365</v>
      </c>
      <c r="N23" s="222"/>
      <c r="O23" s="211" t="s">
        <v>324</v>
      </c>
      <c r="P23" s="243">
        <v>0</v>
      </c>
      <c r="Q23" s="211" t="s">
        <v>325</v>
      </c>
      <c r="R23" s="248" t="s">
        <v>20</v>
      </c>
      <c r="S23" s="248" t="s">
        <v>13</v>
      </c>
      <c r="T23" s="249"/>
      <c r="U23" s="249"/>
      <c r="V23" s="211"/>
    </row>
    <row r="24" ht="43.5" spans="1:22">
      <c r="A24" s="222">
        <v>20</v>
      </c>
      <c r="B24" s="211" t="s">
        <v>52</v>
      </c>
      <c r="C24" s="211" t="s">
        <v>366</v>
      </c>
      <c r="D24" s="223">
        <v>5228</v>
      </c>
      <c r="E24" s="224">
        <f t="shared" si="3"/>
        <v>435.666666666667</v>
      </c>
      <c r="F24" s="222">
        <v>30</v>
      </c>
      <c r="G24" s="222">
        <f t="shared" si="2"/>
        <v>217.84</v>
      </c>
      <c r="H24" s="222" t="s">
        <v>318</v>
      </c>
      <c r="I24" s="222" t="s">
        <v>319</v>
      </c>
      <c r="J24" s="211"/>
      <c r="K24" s="211" t="s">
        <v>321</v>
      </c>
      <c r="L24" s="211"/>
      <c r="M24" s="211"/>
      <c r="N24" s="222"/>
      <c r="O24" s="211" t="s">
        <v>367</v>
      </c>
      <c r="P24" s="243">
        <v>0</v>
      </c>
      <c r="Q24" s="211" t="s">
        <v>325</v>
      </c>
      <c r="R24" s="248" t="s">
        <v>20</v>
      </c>
      <c r="S24" s="248" t="s">
        <v>326</v>
      </c>
      <c r="T24" s="249"/>
      <c r="U24" s="249"/>
      <c r="V24" s="211"/>
    </row>
    <row r="25" spans="1:22">
      <c r="A25" s="222"/>
      <c r="B25" s="211"/>
      <c r="C25" s="211"/>
      <c r="D25" s="223"/>
      <c r="E25" s="224"/>
      <c r="F25" s="222"/>
      <c r="G25" s="222">
        <f t="shared" si="2"/>
        <v>0</v>
      </c>
      <c r="H25" s="222"/>
      <c r="I25" s="222"/>
      <c r="J25" s="211"/>
      <c r="K25" s="211"/>
      <c r="L25" s="211"/>
      <c r="M25" s="211"/>
      <c r="N25" s="222"/>
      <c r="O25" s="211"/>
      <c r="P25" s="243"/>
      <c r="Q25" s="211"/>
      <c r="R25" s="248"/>
      <c r="S25" s="248"/>
      <c r="T25" s="249"/>
      <c r="U25" s="249"/>
      <c r="V25" s="211"/>
    </row>
    <row r="26" ht="21" customHeight="1" spans="1:22">
      <c r="A26" s="222">
        <v>21</v>
      </c>
      <c r="B26" s="211" t="s">
        <v>54</v>
      </c>
      <c r="C26" s="211"/>
      <c r="D26" s="222">
        <v>12829</v>
      </c>
      <c r="E26" s="224">
        <f t="shared" si="3"/>
        <v>1069.08333333333</v>
      </c>
      <c r="F26" s="222"/>
      <c r="G26" s="222">
        <f t="shared" si="2"/>
        <v>0</v>
      </c>
      <c r="H26" s="222"/>
      <c r="I26" s="222"/>
      <c r="J26" s="211"/>
      <c r="K26" s="211"/>
      <c r="L26" s="211"/>
      <c r="M26" s="211"/>
      <c r="N26" s="222"/>
      <c r="O26" s="211" t="s">
        <v>368</v>
      </c>
      <c r="P26" s="243"/>
      <c r="Q26" s="211" t="s">
        <v>369</v>
      </c>
      <c r="R26" s="248" t="s">
        <v>20</v>
      </c>
      <c r="S26" s="248" t="s">
        <v>326</v>
      </c>
      <c r="T26" s="249"/>
      <c r="U26" s="249"/>
      <c r="V26" s="211"/>
    </row>
    <row r="27" ht="31.5" customHeight="1" spans="1:22">
      <c r="A27" s="222">
        <v>22</v>
      </c>
      <c r="B27" s="211" t="s">
        <v>57</v>
      </c>
      <c r="C27" s="211"/>
      <c r="D27" s="222"/>
      <c r="E27" s="224"/>
      <c r="F27" s="222"/>
      <c r="G27" s="222">
        <f t="shared" si="2"/>
        <v>0</v>
      </c>
      <c r="H27" s="222"/>
      <c r="I27" s="222"/>
      <c r="J27" s="211"/>
      <c r="K27" s="211"/>
      <c r="L27" s="211"/>
      <c r="M27" s="211"/>
      <c r="N27" s="222"/>
      <c r="O27" s="211" t="s">
        <v>370</v>
      </c>
      <c r="P27" s="243"/>
      <c r="Q27" s="211" t="s">
        <v>369</v>
      </c>
      <c r="R27" s="248" t="s">
        <v>20</v>
      </c>
      <c r="S27" s="248" t="s">
        <v>326</v>
      </c>
      <c r="T27" s="249"/>
      <c r="U27" s="249"/>
      <c r="V27" s="211"/>
    </row>
    <row r="28" ht="21" customHeight="1" spans="1:26">
      <c r="A28" s="222">
        <v>23</v>
      </c>
      <c r="B28" s="211" t="s">
        <v>59</v>
      </c>
      <c r="C28" s="211"/>
      <c r="D28" s="230">
        <v>48701</v>
      </c>
      <c r="E28" s="231">
        <f>D28/12</f>
        <v>4058.41666666667</v>
      </c>
      <c r="F28" s="222"/>
      <c r="G28" s="222">
        <f t="shared" si="2"/>
        <v>0</v>
      </c>
      <c r="H28" s="222" t="s">
        <v>318</v>
      </c>
      <c r="I28" s="222"/>
      <c r="J28" s="211"/>
      <c r="K28" s="211" t="s">
        <v>321</v>
      </c>
      <c r="L28" s="211" t="s">
        <v>322</v>
      </c>
      <c r="M28" s="211" t="s">
        <v>371</v>
      </c>
      <c r="N28" s="222">
        <v>1</v>
      </c>
      <c r="O28" s="211" t="s">
        <v>324</v>
      </c>
      <c r="P28" s="243"/>
      <c r="Q28" s="211" t="s">
        <v>369</v>
      </c>
      <c r="R28" s="248"/>
      <c r="S28" s="248"/>
      <c r="T28" s="249"/>
      <c r="U28" s="249"/>
      <c r="V28" s="211" t="s">
        <v>327</v>
      </c>
      <c r="X28" s="214">
        <v>44643</v>
      </c>
      <c r="Y28" s="214">
        <f>X28/11</f>
        <v>4058.45454545455</v>
      </c>
      <c r="Z28" s="214">
        <f>Y28*12</f>
        <v>48701.4545454545</v>
      </c>
    </row>
    <row r="29" ht="21" customHeight="1" spans="1:22">
      <c r="A29" s="222">
        <v>24</v>
      </c>
      <c r="B29" s="211" t="s">
        <v>60</v>
      </c>
      <c r="C29" s="211"/>
      <c r="D29" s="118">
        <v>5310</v>
      </c>
      <c r="E29" s="118">
        <v>442.5</v>
      </c>
      <c r="F29" s="222"/>
      <c r="G29" s="222">
        <f t="shared" si="2"/>
        <v>0</v>
      </c>
      <c r="H29" s="118" t="s">
        <v>372</v>
      </c>
      <c r="I29" s="118"/>
      <c r="J29" s="211"/>
      <c r="K29" s="211" t="s">
        <v>321</v>
      </c>
      <c r="L29" s="211" t="s">
        <v>322</v>
      </c>
      <c r="M29" s="211" t="s">
        <v>371</v>
      </c>
      <c r="N29" s="222">
        <v>2</v>
      </c>
      <c r="O29" s="211" t="s">
        <v>373</v>
      </c>
      <c r="P29" s="243"/>
      <c r="Q29" s="211" t="s">
        <v>369</v>
      </c>
      <c r="R29" s="248"/>
      <c r="S29" s="248"/>
      <c r="T29" s="249"/>
      <c r="U29" s="249"/>
      <c r="V29" s="211" t="s">
        <v>327</v>
      </c>
    </row>
    <row r="30" ht="21" customHeight="1" spans="1:22">
      <c r="A30" s="232">
        <v>25</v>
      </c>
      <c r="B30" s="233" t="s">
        <v>61</v>
      </c>
      <c r="C30" s="233"/>
      <c r="D30" s="118">
        <v>53182</v>
      </c>
      <c r="E30" s="231">
        <v>4431.83333333333</v>
      </c>
      <c r="F30" s="232"/>
      <c r="G30" s="222">
        <f t="shared" si="2"/>
        <v>0</v>
      </c>
      <c r="H30" s="222" t="s">
        <v>318</v>
      </c>
      <c r="I30" s="232"/>
      <c r="J30" s="233"/>
      <c r="K30" s="211" t="s">
        <v>321</v>
      </c>
      <c r="L30" s="211" t="s">
        <v>322</v>
      </c>
      <c r="M30" s="211" t="s">
        <v>371</v>
      </c>
      <c r="N30" s="222">
        <v>1</v>
      </c>
      <c r="O30" s="211" t="s">
        <v>374</v>
      </c>
      <c r="P30" s="244"/>
      <c r="Q30" s="211" t="s">
        <v>369</v>
      </c>
      <c r="R30" s="251"/>
      <c r="S30" s="251"/>
      <c r="T30" s="252"/>
      <c r="U30" s="252"/>
      <c r="V30" s="211" t="s">
        <v>327</v>
      </c>
    </row>
    <row r="31" ht="21" customHeight="1" spans="1:22">
      <c r="A31" s="232">
        <v>26</v>
      </c>
      <c r="B31" s="233" t="s">
        <v>63</v>
      </c>
      <c r="C31" s="233"/>
      <c r="D31" s="232"/>
      <c r="E31" s="234"/>
      <c r="F31" s="232"/>
      <c r="G31" s="222">
        <f t="shared" si="2"/>
        <v>0</v>
      </c>
      <c r="H31" s="118" t="s">
        <v>372</v>
      </c>
      <c r="I31" s="236"/>
      <c r="J31" s="233"/>
      <c r="K31" s="211" t="s">
        <v>321</v>
      </c>
      <c r="L31" s="211" t="s">
        <v>322</v>
      </c>
      <c r="M31" s="211" t="s">
        <v>371</v>
      </c>
      <c r="N31" s="222">
        <v>2</v>
      </c>
      <c r="O31" s="211" t="s">
        <v>375</v>
      </c>
      <c r="P31" s="244"/>
      <c r="Q31" s="211" t="s">
        <v>369</v>
      </c>
      <c r="R31" s="251"/>
      <c r="S31" s="251"/>
      <c r="T31" s="252"/>
      <c r="U31" s="252"/>
      <c r="V31" s="211" t="s">
        <v>327</v>
      </c>
    </row>
    <row r="32" ht="21" customHeight="1" spans="1:22">
      <c r="A32" s="222">
        <v>27</v>
      </c>
      <c r="B32" s="211" t="s">
        <v>64</v>
      </c>
      <c r="C32" s="233"/>
      <c r="D32" s="232"/>
      <c r="E32" s="234"/>
      <c r="F32" s="232"/>
      <c r="G32" s="222">
        <f t="shared" si="2"/>
        <v>0</v>
      </c>
      <c r="H32" s="232" t="s">
        <v>318</v>
      </c>
      <c r="I32" s="232"/>
      <c r="J32" s="233"/>
      <c r="K32" s="211" t="s">
        <v>321</v>
      </c>
      <c r="L32" s="211" t="s">
        <v>322</v>
      </c>
      <c r="M32" s="211" t="s">
        <v>371</v>
      </c>
      <c r="N32" s="222">
        <v>1</v>
      </c>
      <c r="O32" s="211" t="s">
        <v>376</v>
      </c>
      <c r="P32" s="244"/>
      <c r="Q32" s="211" t="s">
        <v>369</v>
      </c>
      <c r="R32" s="251"/>
      <c r="S32" s="251"/>
      <c r="T32" s="252"/>
      <c r="U32" s="252"/>
      <c r="V32" s="211"/>
    </row>
    <row r="33" ht="21" customHeight="1" spans="1:22">
      <c r="A33" s="232">
        <v>28</v>
      </c>
      <c r="B33" s="233" t="s">
        <v>65</v>
      </c>
      <c r="C33" s="233"/>
      <c r="D33" s="232"/>
      <c r="E33" s="234"/>
      <c r="F33" s="232"/>
      <c r="G33" s="222">
        <f t="shared" si="2"/>
        <v>0</v>
      </c>
      <c r="H33" s="232" t="s">
        <v>318</v>
      </c>
      <c r="I33" s="232"/>
      <c r="J33" s="233"/>
      <c r="K33" s="211" t="s">
        <v>321</v>
      </c>
      <c r="L33" s="211" t="s">
        <v>322</v>
      </c>
      <c r="M33" s="211" t="s">
        <v>371</v>
      </c>
      <c r="N33" s="222">
        <v>1</v>
      </c>
      <c r="O33" s="211" t="s">
        <v>324</v>
      </c>
      <c r="P33" s="244"/>
      <c r="Q33" s="211" t="s">
        <v>369</v>
      </c>
      <c r="R33" s="251"/>
      <c r="S33" s="251"/>
      <c r="T33" s="252"/>
      <c r="U33" s="252"/>
      <c r="V33" s="211"/>
    </row>
    <row r="34" s="211" customFormat="1" ht="29" spans="1:22">
      <c r="A34" s="232">
        <v>27</v>
      </c>
      <c r="B34" s="235" t="s">
        <v>66</v>
      </c>
      <c r="C34" s="233" t="s">
        <v>377</v>
      </c>
      <c r="D34" s="232"/>
      <c r="E34" s="234"/>
      <c r="F34" s="232"/>
      <c r="G34" s="222">
        <f t="shared" si="2"/>
        <v>0</v>
      </c>
      <c r="H34" s="236" t="s">
        <v>372</v>
      </c>
      <c r="I34" s="232"/>
      <c r="J34" s="233"/>
      <c r="K34" s="233" t="s">
        <v>321</v>
      </c>
      <c r="L34" s="233" t="s">
        <v>322</v>
      </c>
      <c r="M34" s="233" t="s">
        <v>378</v>
      </c>
      <c r="N34" s="232">
        <v>1</v>
      </c>
      <c r="O34" s="233" t="s">
        <v>324</v>
      </c>
      <c r="P34" s="244"/>
      <c r="Q34" s="233" t="s">
        <v>369</v>
      </c>
      <c r="R34" s="251"/>
      <c r="S34" s="232"/>
      <c r="T34" s="233"/>
      <c r="U34" s="233"/>
      <c r="V34" s="233" t="s">
        <v>327</v>
      </c>
    </row>
    <row r="35" ht="27.75" customHeight="1" spans="1:22">
      <c r="A35" s="222">
        <v>28</v>
      </c>
      <c r="B35" s="211" t="s">
        <v>67</v>
      </c>
      <c r="C35" s="211" t="s">
        <v>379</v>
      </c>
      <c r="D35" s="222">
        <v>6316</v>
      </c>
      <c r="E35" s="224">
        <f>D35/12</f>
        <v>526.333333333333</v>
      </c>
      <c r="F35" s="222">
        <v>10</v>
      </c>
      <c r="G35" s="222"/>
      <c r="H35" s="222" t="s">
        <v>318</v>
      </c>
      <c r="I35" s="222" t="s">
        <v>332</v>
      </c>
      <c r="J35" s="211"/>
      <c r="K35" s="211" t="s">
        <v>321</v>
      </c>
      <c r="L35" s="211" t="s">
        <v>322</v>
      </c>
      <c r="M35" s="211" t="s">
        <v>371</v>
      </c>
      <c r="N35" s="222"/>
      <c r="O35" s="211" t="s">
        <v>380</v>
      </c>
      <c r="P35" s="243"/>
      <c r="Q35" s="211" t="s">
        <v>34</v>
      </c>
      <c r="R35" s="248" t="s">
        <v>20</v>
      </c>
      <c r="S35" s="222" t="s">
        <v>326</v>
      </c>
      <c r="T35" s="211"/>
      <c r="U35" s="211"/>
      <c r="V35" s="211"/>
    </row>
    <row r="36" s="212" customFormat="1" spans="1:22">
      <c r="A36" s="237"/>
      <c r="B36" s="238" t="s">
        <v>114</v>
      </c>
      <c r="C36" s="238"/>
      <c r="D36" s="239">
        <f t="shared" ref="D36:F36" si="4">SUM(D2:D24)</f>
        <v>111114</v>
      </c>
      <c r="E36" s="239"/>
      <c r="F36" s="239">
        <f t="shared" si="4"/>
        <v>233</v>
      </c>
      <c r="G36" s="239"/>
      <c r="H36" s="239"/>
      <c r="I36" s="239"/>
      <c r="J36" s="245"/>
      <c r="K36" s="245"/>
      <c r="L36" s="245"/>
      <c r="M36" s="245"/>
      <c r="N36" s="239"/>
      <c r="O36" s="246"/>
      <c r="P36" s="246"/>
      <c r="Q36" s="246"/>
      <c r="R36" s="239"/>
      <c r="S36" s="239"/>
      <c r="T36" s="246">
        <f>SUM(T2:T24)</f>
        <v>0</v>
      </c>
      <c r="U36" s="246">
        <f>SUM(U2:U24)</f>
        <v>0</v>
      </c>
      <c r="V36" s="246"/>
    </row>
  </sheetData>
  <dataValidations count="1">
    <dataValidation type="list" allowBlank="1" showInputMessage="1" showErrorMessage="1" sqref="L2:L35">
      <formula1>"Yes, No"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7"/>
  <sheetViews>
    <sheetView workbookViewId="0">
      <selection activeCell="A4" sqref="A4:E7"/>
    </sheetView>
  </sheetViews>
  <sheetFormatPr defaultColWidth="9" defaultRowHeight="14.5" outlineLevelRow="6" outlineLevelCol="4"/>
  <cols>
    <col min="1" max="1" width="21.1363636363636" customWidth="1"/>
    <col min="2" max="2" width="15.2818181818182" customWidth="1"/>
    <col min="3" max="3" width="7.85454545454545" customWidth="1"/>
    <col min="4" max="4" width="6.42727272727273" customWidth="1"/>
    <col min="5" max="5" width="10.7090909090909" customWidth="1"/>
    <col min="6" max="6" width="21.1363636363636" customWidth="1"/>
    <col min="7" max="7" width="33" customWidth="1"/>
    <col min="8" max="8" width="26" customWidth="1"/>
    <col min="9" max="9" width="37.8545454545455" customWidth="1"/>
  </cols>
  <sheetData>
    <row r="1" spans="1:2">
      <c r="A1" t="s">
        <v>5</v>
      </c>
      <c r="B1" t="s">
        <v>12</v>
      </c>
    </row>
    <row r="3" spans="1:2">
      <c r="A3" t="s">
        <v>381</v>
      </c>
      <c r="B3" t="s">
        <v>382</v>
      </c>
    </row>
    <row r="4" spans="1:5">
      <c r="A4" s="118" t="s">
        <v>383</v>
      </c>
      <c r="B4" s="118" t="s">
        <v>20</v>
      </c>
      <c r="C4" s="118" t="s">
        <v>13</v>
      </c>
      <c r="D4" s="118" t="s">
        <v>16</v>
      </c>
      <c r="E4" s="118" t="s">
        <v>384</v>
      </c>
    </row>
    <row r="5" spans="1:5">
      <c r="A5" s="118" t="s">
        <v>11</v>
      </c>
      <c r="B5" s="118">
        <v>15</v>
      </c>
      <c r="C5" s="118">
        <v>12</v>
      </c>
      <c r="D5" s="118">
        <v>5</v>
      </c>
      <c r="E5" s="118">
        <v>32</v>
      </c>
    </row>
    <row r="6" spans="1:5">
      <c r="A6" s="118" t="s">
        <v>34</v>
      </c>
      <c r="B6" s="118">
        <v>8</v>
      </c>
      <c r="C6" s="118">
        <v>1</v>
      </c>
      <c r="D6" s="118"/>
      <c r="E6" s="118">
        <v>9</v>
      </c>
    </row>
    <row r="7" spans="1:5">
      <c r="A7" s="118" t="s">
        <v>384</v>
      </c>
      <c r="B7" s="118">
        <v>23</v>
      </c>
      <c r="C7" s="118">
        <v>13</v>
      </c>
      <c r="D7" s="118">
        <v>5</v>
      </c>
      <c r="E7" s="118">
        <v>41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3:B7"/>
  <sheetViews>
    <sheetView workbookViewId="0">
      <selection activeCell="B7" sqref="B7"/>
    </sheetView>
  </sheetViews>
  <sheetFormatPr defaultColWidth="9" defaultRowHeight="14.5" outlineLevelRow="6" outlineLevelCol="1"/>
  <cols>
    <col min="1" max="1" width="12.4272727272727" customWidth="1"/>
    <col min="2" max="2" width="33" customWidth="1"/>
  </cols>
  <sheetData>
    <row r="3" spans="1:2">
      <c r="A3" t="s">
        <v>385</v>
      </c>
      <c r="B3" t="s">
        <v>386</v>
      </c>
    </row>
    <row r="4" spans="1:2">
      <c r="A4" s="209" t="s">
        <v>11</v>
      </c>
      <c r="B4">
        <v>284393</v>
      </c>
    </row>
    <row r="5" spans="1:2">
      <c r="A5" s="209" t="s">
        <v>34</v>
      </c>
      <c r="B5">
        <v>174269</v>
      </c>
    </row>
    <row r="6" spans="1:1">
      <c r="A6" s="209" t="s">
        <v>248</v>
      </c>
    </row>
    <row r="7" spans="1:2">
      <c r="A7" s="209" t="s">
        <v>384</v>
      </c>
      <c r="B7">
        <v>458662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21"/>
  <sheetViews>
    <sheetView workbookViewId="0">
      <selection activeCell="D10" sqref="D10"/>
    </sheetView>
  </sheetViews>
  <sheetFormatPr defaultColWidth="31.8545454545455" defaultRowHeight="13" outlineLevelCol="4"/>
  <cols>
    <col min="1" max="1" width="49.7090909090909" style="198" customWidth="1"/>
    <col min="2" max="2" width="38.4272727272727" style="82" customWidth="1"/>
    <col min="3" max="3" width="37.7090909090909" style="82" customWidth="1"/>
    <col min="4" max="4" width="38.4272727272727" style="82" customWidth="1"/>
    <col min="5" max="16384" width="31.8545454545455" style="82"/>
  </cols>
  <sheetData>
    <row r="1" ht="53.1" customHeight="1"/>
    <row r="2" ht="18.6" customHeight="1" spans="1:4">
      <c r="A2" s="199" t="s">
        <v>387</v>
      </c>
      <c r="B2" s="199" t="s">
        <v>16</v>
      </c>
      <c r="C2" s="199" t="s">
        <v>13</v>
      </c>
      <c r="D2" s="199" t="s">
        <v>20</v>
      </c>
    </row>
    <row r="3" ht="26" spans="1:4">
      <c r="A3" s="200" t="s">
        <v>388</v>
      </c>
      <c r="B3" s="201" t="s">
        <v>389</v>
      </c>
      <c r="C3" s="202" t="s">
        <v>390</v>
      </c>
      <c r="D3" s="203" t="s">
        <v>391</v>
      </c>
    </row>
    <row r="4" spans="1:4">
      <c r="A4" s="200"/>
      <c r="B4" s="201" t="s">
        <v>392</v>
      </c>
      <c r="C4" s="202" t="s">
        <v>393</v>
      </c>
      <c r="D4" s="203" t="s">
        <v>394</v>
      </c>
    </row>
    <row r="5" spans="1:4">
      <c r="A5" s="200"/>
      <c r="B5" s="201" t="s">
        <v>395</v>
      </c>
      <c r="C5" s="202" t="s">
        <v>396</v>
      </c>
      <c r="D5" s="203" t="s">
        <v>397</v>
      </c>
    </row>
    <row r="6" spans="1:4">
      <c r="A6" s="200"/>
      <c r="B6" s="201" t="s">
        <v>398</v>
      </c>
      <c r="C6" s="202"/>
      <c r="D6" s="203"/>
    </row>
    <row r="7" spans="1:4">
      <c r="A7" s="204" t="s">
        <v>399</v>
      </c>
      <c r="B7" s="205" t="s">
        <v>400</v>
      </c>
      <c r="C7" s="206" t="s">
        <v>401</v>
      </c>
      <c r="D7" s="207" t="s">
        <v>402</v>
      </c>
    </row>
    <row r="8" ht="26" spans="1:4">
      <c r="A8" s="204" t="s">
        <v>403</v>
      </c>
      <c r="B8" s="205"/>
      <c r="C8" s="206"/>
      <c r="D8" s="207"/>
    </row>
    <row r="9" ht="26" spans="1:4">
      <c r="A9" s="204" t="s">
        <v>404</v>
      </c>
      <c r="B9" s="205"/>
      <c r="C9" s="206"/>
      <c r="D9" s="207"/>
    </row>
    <row r="10" ht="26" spans="1:4">
      <c r="A10" s="204" t="s">
        <v>405</v>
      </c>
      <c r="B10" s="208" t="s">
        <v>406</v>
      </c>
      <c r="C10" s="206" t="s">
        <v>407</v>
      </c>
      <c r="D10" s="207" t="s">
        <v>408</v>
      </c>
    </row>
    <row r="11" ht="26" spans="1:4">
      <c r="A11" s="204" t="s">
        <v>409</v>
      </c>
      <c r="B11" s="205" t="s">
        <v>410</v>
      </c>
      <c r="C11" s="206" t="s">
        <v>411</v>
      </c>
      <c r="D11" s="207" t="s">
        <v>412</v>
      </c>
    </row>
    <row r="12" spans="1:4">
      <c r="A12" s="204" t="s">
        <v>413</v>
      </c>
      <c r="B12" s="205">
        <v>5</v>
      </c>
      <c r="C12" s="206">
        <v>6</v>
      </c>
      <c r="D12" s="207">
        <v>12</v>
      </c>
    </row>
    <row r="13" customFormat="1" ht="14.5" spans="1:5">
      <c r="A13" s="204" t="s">
        <v>414</v>
      </c>
      <c r="B13" s="205" t="s">
        <v>415</v>
      </c>
      <c r="C13" s="206" t="s">
        <v>322</v>
      </c>
      <c r="D13" s="207" t="s">
        <v>322</v>
      </c>
      <c r="E13" s="82"/>
    </row>
    <row r="14" ht="39" spans="1:4">
      <c r="A14" s="204" t="s">
        <v>416</v>
      </c>
      <c r="B14" s="205" t="s">
        <v>415</v>
      </c>
      <c r="C14" s="206" t="s">
        <v>415</v>
      </c>
      <c r="D14" s="207" t="s">
        <v>322</v>
      </c>
    </row>
    <row r="15" spans="1:4">
      <c r="A15" s="204" t="s">
        <v>417</v>
      </c>
      <c r="B15" s="205" t="s">
        <v>415</v>
      </c>
      <c r="C15" s="206" t="s">
        <v>415</v>
      </c>
      <c r="D15" s="207" t="s">
        <v>322</v>
      </c>
    </row>
    <row r="16" spans="1:4">
      <c r="A16" s="204" t="s">
        <v>418</v>
      </c>
      <c r="B16" s="205" t="s">
        <v>322</v>
      </c>
      <c r="C16" s="206" t="s">
        <v>322</v>
      </c>
      <c r="D16" s="207" t="s">
        <v>322</v>
      </c>
    </row>
    <row r="17" ht="26" spans="1:4">
      <c r="A17" s="204" t="s">
        <v>419</v>
      </c>
      <c r="B17" s="205">
        <v>2</v>
      </c>
      <c r="C17" s="206">
        <v>4</v>
      </c>
      <c r="D17" s="207">
        <v>6</v>
      </c>
    </row>
    <row r="18" ht="39" spans="1:4">
      <c r="A18" s="204" t="s">
        <v>420</v>
      </c>
      <c r="B18" s="205" t="s">
        <v>415</v>
      </c>
      <c r="C18" s="206" t="s">
        <v>415</v>
      </c>
      <c r="D18" s="207" t="s">
        <v>322</v>
      </c>
    </row>
    <row r="19" ht="26" spans="1:4">
      <c r="A19" s="204" t="s">
        <v>421</v>
      </c>
      <c r="B19" s="205" t="s">
        <v>422</v>
      </c>
      <c r="C19" s="206" t="s">
        <v>423</v>
      </c>
      <c r="D19" s="207" t="s">
        <v>424</v>
      </c>
    </row>
    <row r="20" ht="26" spans="1:4">
      <c r="A20" s="204" t="s">
        <v>425</v>
      </c>
      <c r="B20" s="205">
        <v>3</v>
      </c>
      <c r="C20" s="206">
        <v>5</v>
      </c>
      <c r="D20" s="207">
        <v>7</v>
      </c>
    </row>
    <row r="21" spans="1:4">
      <c r="A21" s="204" t="s">
        <v>426</v>
      </c>
      <c r="B21" s="205" t="s">
        <v>427</v>
      </c>
      <c r="C21" s="206" t="s">
        <v>428</v>
      </c>
      <c r="D21" s="207" t="s">
        <v>429</v>
      </c>
    </row>
  </sheetData>
  <mergeCells count="4">
    <mergeCell ref="A3:A6"/>
    <mergeCell ref="B7:B9"/>
    <mergeCell ref="C7:C9"/>
    <mergeCell ref="D7:D9"/>
  </mergeCells>
  <pageMargins left="0.7" right="0.7" top="0.75" bottom="0.75" header="0.3" footer="0.3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workbookViewId="0">
      <pane xSplit="2" ySplit="4" topLeftCell="R5" activePane="bottomRight" state="frozen"/>
      <selection/>
      <selection pane="topRight"/>
      <selection pane="bottomLeft"/>
      <selection pane="bottomRight" activeCell="Y6" sqref="Y6:Z6"/>
    </sheetView>
  </sheetViews>
  <sheetFormatPr defaultColWidth="8.70909090909091" defaultRowHeight="12" outlineLevelRow="5"/>
  <cols>
    <col min="1" max="1" width="14.1363636363636" style="19" customWidth="1"/>
    <col min="2" max="2" width="35.5727272727273" style="19" customWidth="1"/>
    <col min="3" max="3" width="9.42727272727273" style="19" customWidth="1"/>
    <col min="4" max="4" width="11.1363636363636" style="19" customWidth="1"/>
    <col min="5" max="5" width="13.4272727272727" style="19" customWidth="1"/>
    <col min="6" max="6" width="10.4272727272727" style="17" customWidth="1"/>
    <col min="7" max="7" width="9" style="19" customWidth="1"/>
    <col min="8" max="8" width="9.42727272727273" style="19" customWidth="1"/>
    <col min="9" max="9" width="15.7090909090909" style="20" customWidth="1"/>
    <col min="10" max="10" width="11.8545454545455" style="19" customWidth="1"/>
    <col min="11" max="11" width="15.2818181818182" style="19" customWidth="1"/>
    <col min="12" max="12" width="13" style="19" customWidth="1"/>
    <col min="13" max="13" width="12.5727272727273" style="19" customWidth="1"/>
    <col min="14" max="14" width="15.7090909090909" style="19" customWidth="1"/>
    <col min="15" max="16" width="12.4272727272727" style="20" customWidth="1"/>
    <col min="17" max="17" width="10" style="20" customWidth="1"/>
    <col min="18" max="18" width="12" style="19" customWidth="1"/>
    <col min="19" max="19" width="8.42727272727273" style="19" customWidth="1"/>
    <col min="20" max="21" width="11.8545454545455" style="19" customWidth="1"/>
    <col min="22" max="22" width="9.13636363636364" style="19" customWidth="1"/>
    <col min="23" max="23" width="10" style="19" customWidth="1"/>
    <col min="24" max="24" width="7.28181818181818" style="19" customWidth="1"/>
    <col min="25" max="25" width="24.2818181818182" style="19" customWidth="1"/>
    <col min="26" max="26" width="22.7090909090909" style="19" customWidth="1"/>
    <col min="27" max="27" width="14.1363636363636" style="19" customWidth="1"/>
    <col min="28" max="16384" width="8.70909090909091" style="19"/>
  </cols>
  <sheetData>
    <row r="1" ht="53.1" customHeight="1"/>
    <row r="2" s="144" customFormat="1" ht="18" customHeight="1" spans="1:27">
      <c r="A2" s="145" t="s">
        <v>430</v>
      </c>
      <c r="B2" s="146"/>
      <c r="C2" s="146"/>
      <c r="D2" s="146"/>
      <c r="E2" s="146"/>
      <c r="F2" s="146"/>
      <c r="G2" s="146"/>
      <c r="H2" s="147"/>
      <c r="I2" s="162" t="s">
        <v>431</v>
      </c>
      <c r="J2" s="162"/>
      <c r="K2" s="162"/>
      <c r="L2" s="162"/>
      <c r="M2" s="162"/>
      <c r="N2" s="163"/>
      <c r="O2" s="164" t="s">
        <v>432</v>
      </c>
      <c r="P2" s="164"/>
      <c r="Q2" s="178" t="s">
        <v>433</v>
      </c>
      <c r="R2" s="162"/>
      <c r="S2" s="162"/>
      <c r="T2" s="162"/>
      <c r="U2" s="162"/>
      <c r="V2" s="162"/>
      <c r="W2" s="162"/>
      <c r="X2" s="162"/>
      <c r="Y2" s="163"/>
      <c r="Z2" s="192" t="s">
        <v>434</v>
      </c>
      <c r="AA2" s="192"/>
    </row>
    <row r="3" ht="36.95" customHeight="1" spans="1:27">
      <c r="A3" s="148" t="s">
        <v>435</v>
      </c>
      <c r="B3" s="149" t="s">
        <v>436</v>
      </c>
      <c r="C3" s="149" t="s">
        <v>437</v>
      </c>
      <c r="D3" s="149" t="s">
        <v>438</v>
      </c>
      <c r="E3" s="149" t="s">
        <v>439</v>
      </c>
      <c r="F3" s="149" t="s">
        <v>302</v>
      </c>
      <c r="G3" s="149" t="s">
        <v>312</v>
      </c>
      <c r="H3" s="150" t="s">
        <v>440</v>
      </c>
      <c r="I3" s="165" t="s">
        <v>441</v>
      </c>
      <c r="J3" s="166" t="s">
        <v>442</v>
      </c>
      <c r="K3" s="167" t="s">
        <v>443</v>
      </c>
      <c r="L3" s="167" t="s">
        <v>444</v>
      </c>
      <c r="M3" s="167" t="s">
        <v>445</v>
      </c>
      <c r="N3" s="167" t="s">
        <v>446</v>
      </c>
      <c r="O3" s="168" t="s">
        <v>447</v>
      </c>
      <c r="P3" s="168" t="s">
        <v>448</v>
      </c>
      <c r="Q3" s="179" t="s">
        <v>449</v>
      </c>
      <c r="R3" s="166" t="s">
        <v>450</v>
      </c>
      <c r="S3" s="166" t="s">
        <v>451</v>
      </c>
      <c r="T3" s="180" t="s">
        <v>452</v>
      </c>
      <c r="U3" s="181"/>
      <c r="V3" s="182"/>
      <c r="W3" s="183" t="s">
        <v>453</v>
      </c>
      <c r="X3" s="184"/>
      <c r="Y3" s="166" t="s">
        <v>454</v>
      </c>
      <c r="Z3" s="149" t="s">
        <v>455</v>
      </c>
      <c r="AA3" s="149" t="s">
        <v>456</v>
      </c>
    </row>
    <row r="4" s="17" customFormat="1" ht="30.6" customHeight="1" spans="1:27">
      <c r="A4" s="151"/>
      <c r="B4" s="152"/>
      <c r="C4" s="152"/>
      <c r="D4" s="152"/>
      <c r="E4" s="152"/>
      <c r="F4" s="152"/>
      <c r="G4" s="152"/>
      <c r="H4" s="153"/>
      <c r="I4" s="165"/>
      <c r="J4" s="166"/>
      <c r="K4" s="167"/>
      <c r="L4" s="167"/>
      <c r="M4" s="167"/>
      <c r="N4" s="167"/>
      <c r="O4" s="169"/>
      <c r="P4" s="169"/>
      <c r="Q4" s="179"/>
      <c r="R4" s="166"/>
      <c r="S4" s="166"/>
      <c r="T4" s="184" t="s">
        <v>457</v>
      </c>
      <c r="U4" s="166" t="s">
        <v>458</v>
      </c>
      <c r="V4" s="183" t="s">
        <v>34</v>
      </c>
      <c r="W4" s="166" t="s">
        <v>459</v>
      </c>
      <c r="X4" s="166" t="s">
        <v>460</v>
      </c>
      <c r="Y4" s="166"/>
      <c r="Z4" s="152"/>
      <c r="AA4" s="152"/>
    </row>
    <row r="5" ht="12.75" spans="1:27">
      <c r="A5" s="154"/>
      <c r="B5" s="155"/>
      <c r="C5" s="156"/>
      <c r="D5" s="156"/>
      <c r="E5" s="156"/>
      <c r="F5" s="157"/>
      <c r="G5" s="156"/>
      <c r="H5" s="158"/>
      <c r="I5" s="170"/>
      <c r="J5" s="171"/>
      <c r="K5" s="171"/>
      <c r="L5" s="171"/>
      <c r="M5" s="171"/>
      <c r="N5" s="172"/>
      <c r="O5" s="173"/>
      <c r="P5" s="173"/>
      <c r="Q5" s="185"/>
      <c r="R5" s="186"/>
      <c r="S5" s="187"/>
      <c r="T5" s="188"/>
      <c r="U5" s="188"/>
      <c r="V5" s="188"/>
      <c r="W5" s="189"/>
      <c r="X5" s="189"/>
      <c r="Y5" s="193"/>
      <c r="Z5" s="194"/>
      <c r="AA5" s="195"/>
    </row>
    <row r="6" ht="16.25" spans="1:27">
      <c r="A6" s="159" t="s">
        <v>461</v>
      </c>
      <c r="B6" s="160"/>
      <c r="C6" s="160"/>
      <c r="D6" s="160"/>
      <c r="E6" s="160"/>
      <c r="F6" s="160"/>
      <c r="G6" s="160"/>
      <c r="H6" s="161"/>
      <c r="I6" s="174"/>
      <c r="J6" s="175"/>
      <c r="K6" s="175"/>
      <c r="L6" s="175"/>
      <c r="M6" s="175"/>
      <c r="N6" s="176"/>
      <c r="O6" s="177"/>
      <c r="P6" s="177"/>
      <c r="Q6" s="177"/>
      <c r="R6" s="190"/>
      <c r="S6" s="191"/>
      <c r="T6" s="191"/>
      <c r="U6" s="191"/>
      <c r="V6" s="191"/>
      <c r="W6" s="191"/>
      <c r="X6" s="191"/>
      <c r="Y6" s="190"/>
      <c r="Z6" s="196"/>
      <c r="AA6" s="197"/>
    </row>
  </sheetData>
  <mergeCells count="30">
    <mergeCell ref="A2:H2"/>
    <mergeCell ref="I2:N2"/>
    <mergeCell ref="O2:P2"/>
    <mergeCell ref="Q2:Y2"/>
    <mergeCell ref="Z2:AA2"/>
    <mergeCell ref="T3:V3"/>
    <mergeCell ref="W3:X3"/>
    <mergeCell ref="A6:H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Y3:Y4"/>
    <mergeCell ref="Z3:Z4"/>
    <mergeCell ref="AA3:AA4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M28"/>
  <sheetViews>
    <sheetView showGridLines="0" workbookViewId="0">
      <selection activeCell="H9" sqref="H9"/>
    </sheetView>
  </sheetViews>
  <sheetFormatPr defaultColWidth="8.70909090909091" defaultRowHeight="13"/>
  <cols>
    <col min="1" max="1" width="15.8545454545455" style="125" customWidth="1"/>
    <col min="2" max="2" width="8.70909090909091" style="125"/>
    <col min="3" max="3" width="21" style="125" customWidth="1"/>
    <col min="4" max="4" width="8.70909090909091" style="125"/>
    <col min="5" max="5" width="12.4272727272727" style="125" customWidth="1"/>
    <col min="6" max="6" width="11.8545454545455" style="125" customWidth="1"/>
    <col min="7" max="7" width="19.8545454545455" style="125" customWidth="1"/>
    <col min="8" max="8" width="17.4272727272727" style="125" customWidth="1"/>
    <col min="9" max="9" width="17.1363636363636" style="125" customWidth="1"/>
    <col min="10" max="10" width="17.2818181818182" style="125" customWidth="1"/>
    <col min="11" max="11" width="12" style="125" customWidth="1"/>
    <col min="12" max="12" width="11.8545454545455" style="125" customWidth="1"/>
    <col min="13" max="13" width="10.4272727272727" style="125" customWidth="1"/>
    <col min="14" max="16384" width="8.70909090909091" style="125"/>
  </cols>
  <sheetData>
    <row r="1" ht="51.6" customHeight="1"/>
    <row r="2" ht="32.45" customHeight="1" spans="1:10">
      <c r="A2" s="126" t="s">
        <v>462</v>
      </c>
      <c r="B2" s="127"/>
      <c r="C2" s="128"/>
      <c r="E2" s="129" t="s">
        <v>463</v>
      </c>
      <c r="F2" s="129" t="s">
        <v>464</v>
      </c>
      <c r="G2" s="129" t="s">
        <v>465</v>
      </c>
      <c r="H2" s="129" t="s">
        <v>466</v>
      </c>
      <c r="I2" s="129" t="s">
        <v>467</v>
      </c>
      <c r="J2" s="129" t="s">
        <v>468</v>
      </c>
    </row>
    <row r="3" spans="1:10">
      <c r="A3" s="130" t="s">
        <v>469</v>
      </c>
      <c r="B3" s="130">
        <v>0</v>
      </c>
      <c r="C3" s="131"/>
      <c r="E3" s="87">
        <v>23</v>
      </c>
      <c r="F3" s="132">
        <f>SUM(ROI!D5:D5)</f>
        <v>0</v>
      </c>
      <c r="G3" s="87">
        <f>(F3*20%)+F3</f>
        <v>0</v>
      </c>
      <c r="H3" s="87">
        <f>G3/12</f>
        <v>0</v>
      </c>
      <c r="I3" s="87">
        <f>H3/30</f>
        <v>0</v>
      </c>
      <c r="J3" s="87" t="e">
        <f>I3*AVERAGE(ROI!P5:P5)</f>
        <v>#DIV/0!</v>
      </c>
    </row>
    <row r="4" spans="1:10">
      <c r="A4" s="130" t="s">
        <v>470</v>
      </c>
      <c r="B4" s="130">
        <v>0</v>
      </c>
      <c r="C4" s="131"/>
      <c r="E4" s="130" t="s">
        <v>471</v>
      </c>
      <c r="F4" s="130"/>
      <c r="G4" s="130"/>
      <c r="H4" s="130"/>
      <c r="I4" s="130"/>
      <c r="J4" s="130">
        <v>1440</v>
      </c>
    </row>
    <row r="5" spans="5:10">
      <c r="E5" s="130" t="s">
        <v>472</v>
      </c>
      <c r="F5" s="130"/>
      <c r="G5" s="130"/>
      <c r="H5" s="130"/>
      <c r="I5" s="130"/>
      <c r="J5" s="142" t="e">
        <f>J3/J4</f>
        <v>#DIV/0!</v>
      </c>
    </row>
    <row r="6" spans="1:10">
      <c r="A6" s="133" t="s">
        <v>473</v>
      </c>
      <c r="B6" s="133"/>
      <c r="C6" s="133"/>
      <c r="E6" s="130" t="s">
        <v>474</v>
      </c>
      <c r="F6" s="130"/>
      <c r="G6" s="130"/>
      <c r="H6" s="130"/>
      <c r="I6" s="130"/>
      <c r="J6" s="130"/>
    </row>
    <row r="7" spans="1:3">
      <c r="A7" s="125" t="s">
        <v>469</v>
      </c>
      <c r="B7" s="125">
        <v>0</v>
      </c>
      <c r="C7" s="125" t="s">
        <v>475</v>
      </c>
    </row>
    <row r="8" spans="3:3">
      <c r="C8" s="125" t="s">
        <v>476</v>
      </c>
    </row>
    <row r="9" ht="34.5" customHeight="1"/>
    <row r="10" ht="40.5" customHeight="1" spans="1:10">
      <c r="A10" s="134" t="s">
        <v>477</v>
      </c>
      <c r="B10" s="134"/>
      <c r="C10" s="134"/>
      <c r="E10" s="129" t="s">
        <v>463</v>
      </c>
      <c r="F10" s="129" t="s">
        <v>464</v>
      </c>
      <c r="G10" s="129" t="s">
        <v>465</v>
      </c>
      <c r="H10" s="129" t="s">
        <v>466</v>
      </c>
      <c r="I10" s="129" t="s">
        <v>467</v>
      </c>
      <c r="J10" s="129" t="s">
        <v>468</v>
      </c>
    </row>
    <row r="11" spans="1:10">
      <c r="A11" s="135" t="s">
        <v>469</v>
      </c>
      <c r="B11" s="130">
        <v>1</v>
      </c>
      <c r="C11" s="131"/>
      <c r="E11" s="87">
        <v>23</v>
      </c>
      <c r="F11" s="132">
        <f>SUM(ROI!D5:D5)</f>
        <v>0</v>
      </c>
      <c r="G11" s="87">
        <f>(F11*20%)+F11</f>
        <v>0</v>
      </c>
      <c r="H11" s="87">
        <f>G11/12</f>
        <v>0</v>
      </c>
      <c r="I11" s="87">
        <f>H11/30</f>
        <v>0</v>
      </c>
      <c r="J11" s="87" t="e">
        <f>I11*AVERAGE(ROI!P5:P5)</f>
        <v>#DIV/0!</v>
      </c>
    </row>
    <row r="12" spans="1:10">
      <c r="A12" s="107"/>
      <c r="B12" s="130">
        <v>1</v>
      </c>
      <c r="C12" s="131"/>
      <c r="E12" s="130" t="s">
        <v>478</v>
      </c>
      <c r="F12" s="130"/>
      <c r="G12" s="130"/>
      <c r="H12" s="130"/>
      <c r="I12" s="130"/>
      <c r="J12" s="130">
        <v>720</v>
      </c>
    </row>
    <row r="13" spans="1:10">
      <c r="A13" s="136" t="s">
        <v>470</v>
      </c>
      <c r="B13" s="137">
        <v>0</v>
      </c>
      <c r="C13" s="131" t="s">
        <v>479</v>
      </c>
      <c r="E13" s="130" t="s">
        <v>480</v>
      </c>
      <c r="F13" s="130"/>
      <c r="G13" s="130"/>
      <c r="H13" s="130"/>
      <c r="I13" s="130"/>
      <c r="J13" s="142" t="e">
        <f>J11/J12</f>
        <v>#DIV/0!</v>
      </c>
    </row>
    <row r="14" spans="1:13">
      <c r="A14" s="138"/>
      <c r="B14" s="130">
        <v>0</v>
      </c>
      <c r="C14" s="131" t="s">
        <v>481</v>
      </c>
      <c r="E14" s="130" t="s">
        <v>474</v>
      </c>
      <c r="F14" s="130"/>
      <c r="G14" s="130"/>
      <c r="H14" s="130"/>
      <c r="I14" s="130"/>
      <c r="J14" s="130"/>
      <c r="M14" s="143"/>
    </row>
    <row r="15" spans="1:3">
      <c r="A15" s="138"/>
      <c r="B15" s="130">
        <v>0</v>
      </c>
      <c r="C15" s="131" t="s">
        <v>482</v>
      </c>
    </row>
    <row r="16" spans="1:3">
      <c r="A16" s="139"/>
      <c r="B16" s="130">
        <v>0</v>
      </c>
      <c r="C16" s="131" t="s">
        <v>483</v>
      </c>
    </row>
    <row r="18" spans="5:6">
      <c r="E18" s="140"/>
      <c r="F18" s="141"/>
    </row>
    <row r="28" spans="13:13">
      <c r="M28" s="143"/>
    </row>
  </sheetData>
  <mergeCells count="11">
    <mergeCell ref="A2:B2"/>
    <mergeCell ref="E4:I4"/>
    <mergeCell ref="E5:I5"/>
    <mergeCell ref="A6:C6"/>
    <mergeCell ref="E6:J6"/>
    <mergeCell ref="A10:C10"/>
    <mergeCell ref="E12:I12"/>
    <mergeCell ref="E13:I13"/>
    <mergeCell ref="E14:J14"/>
    <mergeCell ref="A11:A12"/>
    <mergeCell ref="A13:A16"/>
  </mergeCells>
  <pageMargins left="0.7" right="0.7" top="0.75" bottom="0.75" header="0.3" footer="0.3"/>
  <pageSetup paperSize="1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R50"/>
  <sheetViews>
    <sheetView zoomScale="110" zoomScaleNormal="110" workbookViewId="0">
      <pane xSplit="2" ySplit="3" topLeftCell="C4" activePane="bottomRight" state="frozen"/>
      <selection/>
      <selection pane="topRight"/>
      <selection pane="bottomLeft"/>
      <selection pane="bottomRight" activeCell="B2" sqref="B2:R2"/>
    </sheetView>
  </sheetViews>
  <sheetFormatPr defaultColWidth="24.1363636363636" defaultRowHeight="12.75" customHeight="1"/>
  <cols>
    <col min="1" max="1" width="14.4272727272727" style="82" customWidth="1"/>
    <col min="2" max="2" width="35.8545454545455" style="96" customWidth="1"/>
    <col min="3" max="3" width="22.5727272727273" style="96" customWidth="1"/>
    <col min="4" max="4" width="21.5727272727273" style="82" customWidth="1"/>
    <col min="5" max="11" width="13.5727272727273" style="82" customWidth="1"/>
    <col min="12" max="16" width="24.1363636363636" style="82" customWidth="1"/>
    <col min="17" max="17" width="22.8545454545455" style="82" customWidth="1"/>
    <col min="18" max="18" width="11.5727272727273" style="82" customWidth="1"/>
    <col min="19" max="44" width="3.42727272727273" style="82" customWidth="1"/>
    <col min="45" max="75" width="4.57272727272727" style="82" customWidth="1"/>
    <col min="76" max="16384" width="24.1363636363636" style="82"/>
  </cols>
  <sheetData>
    <row r="1" ht="13" spans="4:13">
      <c r="D1" s="97">
        <f>SUBTOTAL(9,D4:D500)</f>
        <v>478662</v>
      </c>
      <c r="H1" s="97">
        <f>SUBTOTAL(9,H4:H500)</f>
        <v>54.6956382051282</v>
      </c>
      <c r="I1" s="97">
        <f>SUBTOTAL(9,I4:I500)</f>
        <v>30.732741025641</v>
      </c>
      <c r="J1" s="113">
        <f>SUBTOTAL(9,J4:J500)</f>
        <v>28132600</v>
      </c>
      <c r="K1" s="113">
        <f>SUBTOTAL(9,K4:K500)</f>
        <v>18439644.6153846</v>
      </c>
      <c r="L1" s="114">
        <f>K1/J1</f>
        <v>0.655454690124077</v>
      </c>
      <c r="M1" s="262" t="s">
        <v>484</v>
      </c>
    </row>
    <row r="2" spans="2:44">
      <c r="B2" s="98" t="s">
        <v>87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>
        <v>2024</v>
      </c>
      <c r="T2" s="98"/>
      <c r="U2" s="98"/>
      <c r="V2" s="98"/>
      <c r="W2" s="98"/>
      <c r="X2" s="98"/>
      <c r="Y2" s="98"/>
      <c r="Z2" s="98"/>
      <c r="AA2" s="98"/>
      <c r="AB2" s="98">
        <v>2025</v>
      </c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>
        <v>2026</v>
      </c>
      <c r="AO2" s="98"/>
      <c r="AP2" s="98"/>
      <c r="AQ2" s="98"/>
      <c r="AR2" s="98"/>
    </row>
    <row r="3" ht="13" spans="1:44">
      <c r="A3" s="99" t="s">
        <v>0</v>
      </c>
      <c r="B3" s="100" t="s">
        <v>1</v>
      </c>
      <c r="C3" s="100"/>
      <c r="D3" s="100" t="s">
        <v>2</v>
      </c>
      <c r="E3" s="100" t="s">
        <v>3</v>
      </c>
      <c r="F3" s="100" t="s">
        <v>302</v>
      </c>
      <c r="G3" s="100" t="s">
        <v>485</v>
      </c>
      <c r="H3" s="100" t="s">
        <v>486</v>
      </c>
      <c r="I3" s="100" t="s">
        <v>487</v>
      </c>
      <c r="J3" s="100" t="s">
        <v>488</v>
      </c>
      <c r="K3" s="100" t="s">
        <v>489</v>
      </c>
      <c r="L3" s="100" t="s">
        <v>4</v>
      </c>
      <c r="M3" s="100" t="s">
        <v>5</v>
      </c>
      <c r="N3" s="100" t="s">
        <v>6</v>
      </c>
      <c r="O3" s="100" t="s">
        <v>7</v>
      </c>
      <c r="P3" s="100" t="s">
        <v>8</v>
      </c>
      <c r="Q3" s="100" t="s">
        <v>9</v>
      </c>
      <c r="R3" s="100" t="s">
        <v>88</v>
      </c>
      <c r="S3" s="100" t="s">
        <v>89</v>
      </c>
      <c r="T3" s="100" t="s">
        <v>26</v>
      </c>
      <c r="U3" s="100" t="s">
        <v>90</v>
      </c>
      <c r="V3" s="100" t="s">
        <v>91</v>
      </c>
      <c r="W3" s="100" t="s">
        <v>92</v>
      </c>
      <c r="X3" s="100" t="s">
        <v>93</v>
      </c>
      <c r="Y3" s="100" t="s">
        <v>94</v>
      </c>
      <c r="Z3" s="100" t="s">
        <v>95</v>
      </c>
      <c r="AA3" s="100" t="s">
        <v>96</v>
      </c>
      <c r="AB3" s="100" t="s">
        <v>97</v>
      </c>
      <c r="AC3" s="100" t="s">
        <v>98</v>
      </c>
      <c r="AD3" s="100" t="s">
        <v>99</v>
      </c>
      <c r="AE3" s="100" t="s">
        <v>89</v>
      </c>
      <c r="AF3" s="100" t="s">
        <v>26</v>
      </c>
      <c r="AG3" s="100" t="s">
        <v>90</v>
      </c>
      <c r="AH3" s="100" t="s">
        <v>91</v>
      </c>
      <c r="AI3" s="100" t="s">
        <v>92</v>
      </c>
      <c r="AJ3" s="100" t="s">
        <v>93</v>
      </c>
      <c r="AK3" s="100" t="s">
        <v>94</v>
      </c>
      <c r="AL3" s="100" t="s">
        <v>95</v>
      </c>
      <c r="AM3" s="100" t="s">
        <v>96</v>
      </c>
      <c r="AN3" s="100" t="s">
        <v>97</v>
      </c>
      <c r="AO3" s="100" t="s">
        <v>98</v>
      </c>
      <c r="AP3" s="100" t="s">
        <v>99</v>
      </c>
      <c r="AQ3" s="100" t="s">
        <v>89</v>
      </c>
      <c r="AR3" s="100" t="s">
        <v>26</v>
      </c>
    </row>
    <row r="4" ht="13" spans="1:44">
      <c r="A4" s="87">
        <v>4</v>
      </c>
      <c r="B4" s="101" t="s">
        <v>18</v>
      </c>
      <c r="C4" s="101"/>
      <c r="D4" s="102">
        <v>7168</v>
      </c>
      <c r="E4" s="102" t="s">
        <v>11</v>
      </c>
      <c r="F4" s="102" t="str">
        <f>VLOOKUP('RPA RoadMap'!$B4,Inventory!$B$1:$N$38,7,FALSE)</f>
        <v>Daily</v>
      </c>
      <c r="G4" s="102">
        <f>VLOOKUP('RPA RoadMap'!$B4,Inventory!$B$1:$N$38,5,FALSE)</f>
        <v>10</v>
      </c>
      <c r="H4" s="103">
        <f>((D4/200)*G4)/60/6.5</f>
        <v>0.918974358974359</v>
      </c>
      <c r="I4" s="103">
        <f>H4*0.6</f>
        <v>0.551384615384615</v>
      </c>
      <c r="J4" s="115">
        <f>H4*600000</f>
        <v>551384.615384615</v>
      </c>
      <c r="K4" s="115">
        <f>I4*600000</f>
        <v>330830.769230769</v>
      </c>
      <c r="L4" s="102" t="s">
        <v>19</v>
      </c>
      <c r="M4" s="102" t="s">
        <v>12</v>
      </c>
      <c r="N4" s="102" t="s">
        <v>20</v>
      </c>
      <c r="O4" s="102">
        <f>VLOOKUP(_xlfn.CONCAT(E4,N4),'Estimation Guidelines'!C:L,10,FALSE)</f>
        <v>8.6</v>
      </c>
      <c r="P4" s="102" t="s">
        <v>21</v>
      </c>
      <c r="Q4" s="102" t="s">
        <v>22</v>
      </c>
      <c r="R4" s="102">
        <v>202403</v>
      </c>
      <c r="S4" s="121">
        <v>1</v>
      </c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</row>
    <row r="5" ht="13" spans="1:44">
      <c r="A5" s="87">
        <v>20</v>
      </c>
      <c r="B5" s="101" t="s">
        <v>48</v>
      </c>
      <c r="C5" s="101"/>
      <c r="D5" s="102">
        <v>9845</v>
      </c>
      <c r="E5" s="102" t="s">
        <v>34</v>
      </c>
      <c r="F5" s="102" t="str">
        <f>VLOOKUP('RPA RoadMap'!$B5,Inventory!$B$1:$N$38,7,FALSE)</f>
        <v>Weekly</v>
      </c>
      <c r="G5" s="102">
        <f>VLOOKUP('RPA RoadMap'!$B5,Inventory!$B$1:$N$38,5,FALSE)</f>
        <v>10</v>
      </c>
      <c r="H5" s="103">
        <f t="shared" ref="H5:H34" si="0">((D5/200)*G5)/60/6.5</f>
        <v>1.26217948717949</v>
      </c>
      <c r="I5" s="103">
        <f>H5*0.6</f>
        <v>0.757307692307692</v>
      </c>
      <c r="J5" s="115">
        <f t="shared" ref="J5:J34" si="1">H5*600000</f>
        <v>757307.692307692</v>
      </c>
      <c r="K5" s="115">
        <f t="shared" ref="K5:K34" si="2">I5*600000</f>
        <v>454384.615384615</v>
      </c>
      <c r="L5" s="102" t="s">
        <v>19</v>
      </c>
      <c r="M5" s="102" t="s">
        <v>12</v>
      </c>
      <c r="N5" s="116" t="s">
        <v>20</v>
      </c>
      <c r="O5" s="102">
        <f>VLOOKUP(_xlfn.CONCAT(E5,N5),'Estimation Guidelines'!C:L,10,FALSE)</f>
        <v>11.6</v>
      </c>
      <c r="P5" s="102" t="s">
        <v>490</v>
      </c>
      <c r="Q5" s="102" t="s">
        <v>44</v>
      </c>
      <c r="R5" s="102">
        <v>202404</v>
      </c>
      <c r="S5" s="121">
        <v>1</v>
      </c>
      <c r="T5" s="121">
        <v>1</v>
      </c>
      <c r="U5" s="121">
        <v>1</v>
      </c>
      <c r="V5" s="121">
        <v>1</v>
      </c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</row>
    <row r="6" ht="13" spans="1:44">
      <c r="A6" s="87">
        <v>17</v>
      </c>
      <c r="B6" s="101" t="s">
        <v>43</v>
      </c>
      <c r="C6" s="101"/>
      <c r="D6" s="102">
        <v>3695</v>
      </c>
      <c r="E6" s="102" t="s">
        <v>34</v>
      </c>
      <c r="F6" s="102" t="str">
        <f>VLOOKUP('RPA RoadMap'!$B6,Inventory!$B$1:$N$38,7,FALSE)</f>
        <v>Weekly</v>
      </c>
      <c r="G6" s="102">
        <f>VLOOKUP('RPA RoadMap'!$B6,Inventory!$B$1:$N$38,5,FALSE)</f>
        <v>8</v>
      </c>
      <c r="H6" s="103">
        <f t="shared" si="0"/>
        <v>0.378974358974359</v>
      </c>
      <c r="I6" s="103">
        <f>H6*0.8</f>
        <v>0.303179487179487</v>
      </c>
      <c r="J6" s="115">
        <f t="shared" si="1"/>
        <v>227384.615384615</v>
      </c>
      <c r="K6" s="115">
        <f t="shared" si="2"/>
        <v>181907.692307692</v>
      </c>
      <c r="L6" s="102" t="s">
        <v>19</v>
      </c>
      <c r="M6" s="102" t="s">
        <v>12</v>
      </c>
      <c r="N6" s="116" t="s">
        <v>13</v>
      </c>
      <c r="O6" s="102">
        <f>VLOOKUP(_xlfn.CONCAT(E6,N6),'Estimation Guidelines'!C:L,10,FALSE)</f>
        <v>8.8</v>
      </c>
      <c r="P6" s="102" t="s">
        <v>490</v>
      </c>
      <c r="Q6" s="102" t="s">
        <v>44</v>
      </c>
      <c r="R6" s="102">
        <v>202404</v>
      </c>
      <c r="S6" s="121">
        <v>1</v>
      </c>
      <c r="T6" s="121">
        <v>1</v>
      </c>
      <c r="U6" s="121">
        <v>1</v>
      </c>
      <c r="V6" s="121">
        <v>1</v>
      </c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</row>
    <row r="7" ht="13" spans="1:44">
      <c r="A7" s="87">
        <v>19</v>
      </c>
      <c r="B7" s="101" t="s">
        <v>46</v>
      </c>
      <c r="C7" s="101"/>
      <c r="D7" s="102">
        <v>2981</v>
      </c>
      <c r="E7" s="102" t="s">
        <v>34</v>
      </c>
      <c r="F7" s="102" t="str">
        <f>VLOOKUP('RPA RoadMap'!$B7,Inventory!$B$1:$N$38,7,FALSE)</f>
        <v>Daily</v>
      </c>
      <c r="G7" s="102">
        <f>VLOOKUP('RPA RoadMap'!$B7,Inventory!$B$1:$N$38,5,FALSE)</f>
        <v>7</v>
      </c>
      <c r="H7" s="103">
        <f t="shared" si="0"/>
        <v>0.267525641025641</v>
      </c>
      <c r="I7" s="103">
        <f t="shared" ref="I7:I8" si="3">H7*0.6</f>
        <v>0.160515384615385</v>
      </c>
      <c r="J7" s="115">
        <f t="shared" si="1"/>
        <v>160515.384615385</v>
      </c>
      <c r="K7" s="115">
        <f t="shared" si="2"/>
        <v>96309.2307692308</v>
      </c>
      <c r="L7" s="102" t="s">
        <v>19</v>
      </c>
      <c r="M7" s="102" t="s">
        <v>12</v>
      </c>
      <c r="N7" s="116" t="s">
        <v>20</v>
      </c>
      <c r="O7" s="102">
        <f>VLOOKUP(_xlfn.CONCAT(E7,N7),'Estimation Guidelines'!C:L,10,FALSE)</f>
        <v>11.6</v>
      </c>
      <c r="P7" s="102" t="s">
        <v>490</v>
      </c>
      <c r="Q7" s="102" t="s">
        <v>47</v>
      </c>
      <c r="R7" s="102">
        <v>202404</v>
      </c>
      <c r="S7" s="121">
        <v>1</v>
      </c>
      <c r="T7" s="121">
        <v>1</v>
      </c>
      <c r="U7" s="121">
        <v>1</v>
      </c>
      <c r="V7" s="121">
        <v>1</v>
      </c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</row>
    <row r="8" ht="13" spans="1:44">
      <c r="A8" s="87">
        <v>24</v>
      </c>
      <c r="B8" s="101" t="s">
        <v>54</v>
      </c>
      <c r="C8" s="101"/>
      <c r="D8" s="102">
        <v>12829</v>
      </c>
      <c r="E8" s="102" t="s">
        <v>11</v>
      </c>
      <c r="F8" s="102" t="s">
        <v>364</v>
      </c>
      <c r="G8" s="102">
        <v>10</v>
      </c>
      <c r="H8" s="103">
        <f t="shared" si="0"/>
        <v>1.64474358974359</v>
      </c>
      <c r="I8" s="103">
        <f t="shared" si="3"/>
        <v>0.986846153846154</v>
      </c>
      <c r="J8" s="115">
        <f t="shared" si="1"/>
        <v>986846.153846154</v>
      </c>
      <c r="K8" s="115">
        <f t="shared" si="2"/>
        <v>592107.692307692</v>
      </c>
      <c r="L8" s="102" t="s">
        <v>19</v>
      </c>
      <c r="M8" s="102" t="s">
        <v>12</v>
      </c>
      <c r="N8" s="116" t="s">
        <v>20</v>
      </c>
      <c r="O8" s="102">
        <f>VLOOKUP(_xlfn.CONCAT(E8,N8),'Estimation Guidelines'!C:L,10,FALSE)</f>
        <v>8.6</v>
      </c>
      <c r="P8" s="102" t="s">
        <v>55</v>
      </c>
      <c r="Q8" s="102" t="s">
        <v>56</v>
      </c>
      <c r="R8" s="102">
        <v>202404</v>
      </c>
      <c r="S8" s="121">
        <v>1</v>
      </c>
      <c r="T8" s="121">
        <v>1</v>
      </c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</row>
    <row r="9" ht="13" spans="1:44">
      <c r="A9" s="87">
        <v>38</v>
      </c>
      <c r="B9" s="101" t="s">
        <v>76</v>
      </c>
      <c r="C9" s="101"/>
      <c r="D9" s="104">
        <v>10287</v>
      </c>
      <c r="E9" s="102" t="s">
        <v>11</v>
      </c>
      <c r="F9" s="102" t="s">
        <v>364</v>
      </c>
      <c r="G9" s="102">
        <v>10</v>
      </c>
      <c r="H9" s="103">
        <f t="shared" si="0"/>
        <v>1.31884615384615</v>
      </c>
      <c r="I9" s="103">
        <f>H9*0.9</f>
        <v>1.18696153846154</v>
      </c>
      <c r="J9" s="115">
        <f t="shared" si="1"/>
        <v>791307.692307692</v>
      </c>
      <c r="K9" s="115">
        <f t="shared" si="2"/>
        <v>712176.923076923</v>
      </c>
      <c r="L9" s="102" t="s">
        <v>19</v>
      </c>
      <c r="M9" s="102" t="s">
        <v>12</v>
      </c>
      <c r="N9" s="102" t="s">
        <v>16</v>
      </c>
      <c r="O9" s="102">
        <f>VLOOKUP(_xlfn.CONCAT(E9,N9),'Estimation Guidelines'!C:L,10,FALSE)</f>
        <v>4.8</v>
      </c>
      <c r="P9" s="102" t="s">
        <v>21</v>
      </c>
      <c r="Q9" s="102" t="s">
        <v>26</v>
      </c>
      <c r="R9" s="102">
        <v>202405</v>
      </c>
      <c r="S9" s="122"/>
      <c r="T9" s="121">
        <v>1</v>
      </c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87"/>
      <c r="AI9" s="122"/>
      <c r="AJ9" s="122"/>
      <c r="AK9" s="122"/>
      <c r="AL9" s="122"/>
      <c r="AM9" s="122"/>
      <c r="AN9" s="122"/>
      <c r="AO9" s="122"/>
      <c r="AP9" s="122"/>
      <c r="AQ9" s="122"/>
      <c r="AR9" s="122"/>
    </row>
    <row r="10" ht="13" spans="1:44">
      <c r="A10" s="87">
        <v>41</v>
      </c>
      <c r="B10" s="101" t="s">
        <v>81</v>
      </c>
      <c r="C10" s="101"/>
      <c r="D10" s="104">
        <v>45835</v>
      </c>
      <c r="E10" s="102" t="s">
        <v>11</v>
      </c>
      <c r="F10" s="102" t="s">
        <v>318</v>
      </c>
      <c r="G10" s="102">
        <v>10</v>
      </c>
      <c r="H10" s="103">
        <f t="shared" si="0"/>
        <v>5.87628205128205</v>
      </c>
      <c r="I10" s="103">
        <f t="shared" ref="I10:I30" si="4">H10*0.8</f>
        <v>4.70102564102564</v>
      </c>
      <c r="J10" s="115">
        <f t="shared" si="1"/>
        <v>3525769.23076923</v>
      </c>
      <c r="K10" s="115">
        <f t="shared" si="2"/>
        <v>2820615.38461538</v>
      </c>
      <c r="L10" s="102" t="s">
        <v>19</v>
      </c>
      <c r="M10" s="102" t="s">
        <v>12</v>
      </c>
      <c r="N10" s="102" t="s">
        <v>13</v>
      </c>
      <c r="O10" s="102">
        <f>VLOOKUP(_xlfn.CONCAT(E10,N10),'Estimation Guidelines'!C:L,10,FALSE)</f>
        <v>5.8</v>
      </c>
      <c r="P10" s="102" t="s">
        <v>21</v>
      </c>
      <c r="Q10" s="102" t="s">
        <v>28</v>
      </c>
      <c r="R10" s="102">
        <v>202406</v>
      </c>
      <c r="S10" s="122"/>
      <c r="T10" s="122"/>
      <c r="U10" s="121">
        <v>1</v>
      </c>
      <c r="V10" s="121">
        <v>1</v>
      </c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87"/>
      <c r="AM10" s="87"/>
      <c r="AN10" s="122"/>
      <c r="AO10" s="122"/>
      <c r="AP10" s="122"/>
      <c r="AQ10" s="122"/>
      <c r="AR10" s="122"/>
    </row>
    <row r="11" ht="13" spans="1:44">
      <c r="A11" s="87">
        <v>25</v>
      </c>
      <c r="B11" s="101" t="s">
        <v>57</v>
      </c>
      <c r="C11" s="101"/>
      <c r="D11" s="105">
        <v>5000</v>
      </c>
      <c r="E11" s="102" t="s">
        <v>11</v>
      </c>
      <c r="F11" s="102" t="s">
        <v>491</v>
      </c>
      <c r="G11" s="105">
        <v>10</v>
      </c>
      <c r="H11" s="103">
        <f t="shared" si="0"/>
        <v>0.641025641025641</v>
      </c>
      <c r="I11" s="103">
        <f t="shared" ref="I11:I14" si="5">H11*0.6</f>
        <v>0.384615384615385</v>
      </c>
      <c r="J11" s="115">
        <f t="shared" si="1"/>
        <v>384615.384615385</v>
      </c>
      <c r="K11" s="115">
        <f t="shared" si="2"/>
        <v>230769.230769231</v>
      </c>
      <c r="L11" s="102" t="s">
        <v>19</v>
      </c>
      <c r="M11" s="102" t="s">
        <v>12</v>
      </c>
      <c r="N11" s="116" t="s">
        <v>20</v>
      </c>
      <c r="O11" s="102">
        <f>VLOOKUP(_xlfn.CONCAT(E11,N11),'Estimation Guidelines'!C:L,10,FALSE)</f>
        <v>8.6</v>
      </c>
      <c r="P11" s="102" t="s">
        <v>55</v>
      </c>
      <c r="Q11" s="102" t="s">
        <v>58</v>
      </c>
      <c r="R11" s="102">
        <v>202406</v>
      </c>
      <c r="S11" s="122"/>
      <c r="T11" s="122"/>
      <c r="U11" s="121">
        <v>1</v>
      </c>
      <c r="V11" s="121">
        <v>1</v>
      </c>
      <c r="W11" s="121">
        <v>1</v>
      </c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</row>
    <row r="12" ht="13" spans="1:44">
      <c r="A12" s="87">
        <v>33</v>
      </c>
      <c r="B12" s="101" t="s">
        <v>67</v>
      </c>
      <c r="C12" s="101"/>
      <c r="D12" s="102">
        <v>111114</v>
      </c>
      <c r="E12" s="102" t="s">
        <v>34</v>
      </c>
      <c r="F12" s="102" t="str">
        <f>VLOOKUP('RPA RoadMap'!$B12,Inventory!$B$1:$N$38,7,FALSE)</f>
        <v>Daily</v>
      </c>
      <c r="G12" s="105">
        <f>VLOOKUP('RPA RoadMap'!$B12,Inventory!$B$1:$N$38,5,FALSE)</f>
        <v>10</v>
      </c>
      <c r="H12" s="103">
        <f t="shared" si="0"/>
        <v>14.2453846153846</v>
      </c>
      <c r="I12" s="103">
        <f t="shared" si="5"/>
        <v>8.54723076923077</v>
      </c>
      <c r="J12" s="115">
        <f t="shared" si="1"/>
        <v>8547230.76923077</v>
      </c>
      <c r="K12" s="115">
        <f t="shared" si="2"/>
        <v>5128338.46153846</v>
      </c>
      <c r="L12" s="102" t="s">
        <v>19</v>
      </c>
      <c r="M12" s="102" t="s">
        <v>12</v>
      </c>
      <c r="N12" s="116" t="s">
        <v>20</v>
      </c>
      <c r="O12" s="102">
        <f>VLOOKUP(_xlfn.CONCAT(E12,N12),'Estimation Guidelines'!C:L,10,FALSE)</f>
        <v>11.6</v>
      </c>
      <c r="P12" s="102" t="s">
        <v>490</v>
      </c>
      <c r="Q12" s="102" t="s">
        <v>42</v>
      </c>
      <c r="R12" s="102">
        <v>202408</v>
      </c>
      <c r="S12" s="122"/>
      <c r="T12" s="122"/>
      <c r="U12" s="122"/>
      <c r="V12" s="122"/>
      <c r="W12" s="121">
        <v>1</v>
      </c>
      <c r="X12" s="121">
        <v>1</v>
      </c>
      <c r="Y12" s="121">
        <v>1</v>
      </c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</row>
    <row r="13" ht="13" spans="1:44">
      <c r="A13" s="87">
        <v>16</v>
      </c>
      <c r="B13" s="101" t="s">
        <v>41</v>
      </c>
      <c r="C13" s="101"/>
      <c r="D13" s="102">
        <v>8925</v>
      </c>
      <c r="E13" s="102" t="s">
        <v>34</v>
      </c>
      <c r="F13" s="102" t="s">
        <v>318</v>
      </c>
      <c r="G13" s="102">
        <f>VLOOKUP('RPA RoadMap'!$B13,Inventory!$B$1:$N$38,5,FALSE)</f>
        <v>25</v>
      </c>
      <c r="H13" s="103">
        <f t="shared" si="0"/>
        <v>2.86057692307692</v>
      </c>
      <c r="I13" s="103">
        <f t="shared" si="5"/>
        <v>1.71634615384615</v>
      </c>
      <c r="J13" s="115">
        <f t="shared" si="1"/>
        <v>1716346.15384615</v>
      </c>
      <c r="K13" s="115">
        <f t="shared" si="2"/>
        <v>1029807.69230769</v>
      </c>
      <c r="L13" s="102" t="s">
        <v>19</v>
      </c>
      <c r="M13" s="102" t="s">
        <v>12</v>
      </c>
      <c r="N13" s="116" t="s">
        <v>20</v>
      </c>
      <c r="O13" s="102">
        <f>VLOOKUP(_xlfn.CONCAT(E13,N13),'Estimation Guidelines'!C:L,10,FALSE)</f>
        <v>11.6</v>
      </c>
      <c r="P13" s="102" t="s">
        <v>490</v>
      </c>
      <c r="Q13" s="102" t="s">
        <v>42</v>
      </c>
      <c r="R13" s="102">
        <v>202408</v>
      </c>
      <c r="S13" s="122"/>
      <c r="T13" s="122"/>
      <c r="U13" s="122"/>
      <c r="V13" s="122"/>
      <c r="W13" s="121">
        <v>1</v>
      </c>
      <c r="X13" s="121">
        <v>1</v>
      </c>
      <c r="Y13" s="121">
        <v>1</v>
      </c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</row>
    <row r="14" ht="13" spans="1:44">
      <c r="A14" s="87">
        <v>18</v>
      </c>
      <c r="B14" s="101" t="s">
        <v>45</v>
      </c>
      <c r="C14" s="101"/>
      <c r="D14" s="102">
        <v>5854</v>
      </c>
      <c r="E14" s="102" t="s">
        <v>34</v>
      </c>
      <c r="F14" s="102" t="s">
        <v>318</v>
      </c>
      <c r="G14" s="102">
        <f>VLOOKUP('RPA RoadMap'!$B14,Inventory!$B$1:$N$38,5,FALSE)</f>
        <v>25</v>
      </c>
      <c r="H14" s="103">
        <f t="shared" si="0"/>
        <v>1.87628205128205</v>
      </c>
      <c r="I14" s="103">
        <f t="shared" si="5"/>
        <v>1.12576923076923</v>
      </c>
      <c r="J14" s="115">
        <f t="shared" si="1"/>
        <v>1125769.23076923</v>
      </c>
      <c r="K14" s="115">
        <f t="shared" si="2"/>
        <v>675461.538461538</v>
      </c>
      <c r="L14" s="102" t="s">
        <v>19</v>
      </c>
      <c r="M14" s="102" t="s">
        <v>12</v>
      </c>
      <c r="N14" s="116" t="s">
        <v>20</v>
      </c>
      <c r="O14" s="102">
        <f>VLOOKUP(_xlfn.CONCAT(E14,N14),'Estimation Guidelines'!C:L,10,FALSE)</f>
        <v>11.6</v>
      </c>
      <c r="P14" s="102" t="s">
        <v>490</v>
      </c>
      <c r="Q14" s="102" t="s">
        <v>42</v>
      </c>
      <c r="R14" s="102">
        <v>202408</v>
      </c>
      <c r="S14" s="122"/>
      <c r="T14" s="122"/>
      <c r="U14" s="122"/>
      <c r="V14" s="122"/>
      <c r="W14" s="121">
        <v>1</v>
      </c>
      <c r="X14" s="121">
        <v>1</v>
      </c>
      <c r="Y14" s="121">
        <v>1</v>
      </c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</row>
    <row r="15" ht="13" spans="1:44">
      <c r="A15" s="87">
        <v>46</v>
      </c>
      <c r="B15" s="101" t="s">
        <v>86</v>
      </c>
      <c r="C15" s="101"/>
      <c r="D15" s="104">
        <v>9247</v>
      </c>
      <c r="E15" s="102" t="s">
        <v>11</v>
      </c>
      <c r="F15" s="102" t="s">
        <v>318</v>
      </c>
      <c r="G15" s="105">
        <v>10</v>
      </c>
      <c r="H15" s="103">
        <f t="shared" si="0"/>
        <v>1.18551282051282</v>
      </c>
      <c r="I15" s="103">
        <f t="shared" si="4"/>
        <v>0.948410256410256</v>
      </c>
      <c r="J15" s="115">
        <f t="shared" si="1"/>
        <v>711307.692307692</v>
      </c>
      <c r="K15" s="115">
        <f t="shared" si="2"/>
        <v>569046.153846154</v>
      </c>
      <c r="L15" s="102" t="s">
        <v>19</v>
      </c>
      <c r="M15" s="102" t="s">
        <v>12</v>
      </c>
      <c r="N15" s="102" t="s">
        <v>13</v>
      </c>
      <c r="O15" s="102">
        <f>VLOOKUP(_xlfn.CONCAT(E15,N15),'Estimation Guidelines'!C:L,10,FALSE)</f>
        <v>5.8</v>
      </c>
      <c r="P15" s="102" t="s">
        <v>21</v>
      </c>
      <c r="Q15" s="102" t="s">
        <v>31</v>
      </c>
      <c r="R15" s="102">
        <v>202408</v>
      </c>
      <c r="S15" s="122"/>
      <c r="T15" s="122"/>
      <c r="U15" s="122"/>
      <c r="V15" s="122"/>
      <c r="W15" s="121">
        <v>1</v>
      </c>
      <c r="X15" s="121">
        <v>1</v>
      </c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87"/>
      <c r="AQ15" s="87"/>
      <c r="AR15" s="122"/>
    </row>
    <row r="16" ht="13" spans="1:44">
      <c r="A16" s="87">
        <v>15</v>
      </c>
      <c r="B16" s="101" t="s">
        <v>39</v>
      </c>
      <c r="C16" s="101"/>
      <c r="D16" s="102">
        <v>5337</v>
      </c>
      <c r="E16" s="102" t="s">
        <v>11</v>
      </c>
      <c r="F16" s="102" t="str">
        <f>VLOOKUP('RPA RoadMap'!$B16,Inventory!$B$1:$N$38,7,FALSE)</f>
        <v>Daily</v>
      </c>
      <c r="G16" s="102">
        <f>VLOOKUP('RPA RoadMap'!$B16,Inventory!$B$1:$N$38,5,FALSE)</f>
        <v>5</v>
      </c>
      <c r="H16" s="103">
        <f t="shared" si="0"/>
        <v>0.342115384615385</v>
      </c>
      <c r="I16" s="103">
        <f t="shared" ref="I16:I21" si="6">H16*0.6</f>
        <v>0.205269230769231</v>
      </c>
      <c r="J16" s="115">
        <f t="shared" si="1"/>
        <v>205269.230769231</v>
      </c>
      <c r="K16" s="115">
        <f t="shared" si="2"/>
        <v>123161.538461538</v>
      </c>
      <c r="L16" s="102" t="s">
        <v>19</v>
      </c>
      <c r="M16" s="102" t="s">
        <v>12</v>
      </c>
      <c r="N16" s="116" t="s">
        <v>20</v>
      </c>
      <c r="O16" s="102">
        <f>VLOOKUP(_xlfn.CONCAT(E16,N16),'Estimation Guidelines'!C:L,10,FALSE)</f>
        <v>8.6</v>
      </c>
      <c r="P16" s="102" t="s">
        <v>21</v>
      </c>
      <c r="Q16" s="102" t="s">
        <v>40</v>
      </c>
      <c r="R16" s="102">
        <v>202410</v>
      </c>
      <c r="S16" s="122"/>
      <c r="T16" s="122"/>
      <c r="U16" s="122"/>
      <c r="V16" s="122"/>
      <c r="W16" s="122"/>
      <c r="X16" s="122"/>
      <c r="Y16" s="121">
        <v>1</v>
      </c>
      <c r="Z16" s="121">
        <v>1</v>
      </c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</row>
    <row r="17" ht="13" spans="1:44">
      <c r="A17" s="87">
        <v>13</v>
      </c>
      <c r="B17" s="101" t="s">
        <v>37</v>
      </c>
      <c r="C17" s="101"/>
      <c r="D17" s="102">
        <v>14504</v>
      </c>
      <c r="E17" s="102" t="s">
        <v>34</v>
      </c>
      <c r="F17" s="102" t="str">
        <f>VLOOKUP('RPA RoadMap'!$B17,Inventory!$B$1:$N$38,7,FALSE)</f>
        <v>Daily</v>
      </c>
      <c r="G17" s="105">
        <f>VLOOKUP('RPA RoadMap'!$B17,Inventory!$B$1:$N$38,5,FALSE)</f>
        <v>10</v>
      </c>
      <c r="H17" s="103">
        <f t="shared" si="0"/>
        <v>1.85948717948718</v>
      </c>
      <c r="I17" s="103">
        <f t="shared" si="6"/>
        <v>1.11569230769231</v>
      </c>
      <c r="J17" s="115">
        <f t="shared" si="1"/>
        <v>1115692.30769231</v>
      </c>
      <c r="K17" s="115">
        <f t="shared" si="2"/>
        <v>669415.384615385</v>
      </c>
      <c r="L17" s="102" t="s">
        <v>19</v>
      </c>
      <c r="M17" s="102" t="s">
        <v>12</v>
      </c>
      <c r="N17" s="116" t="s">
        <v>20</v>
      </c>
      <c r="O17" s="102">
        <f>VLOOKUP(_xlfn.CONCAT(E17,N17),'Estimation Guidelines'!C:L,10,FALSE)</f>
        <v>11.6</v>
      </c>
      <c r="P17" s="102" t="s">
        <v>490</v>
      </c>
      <c r="Q17" s="102" t="s">
        <v>36</v>
      </c>
      <c r="R17" s="102">
        <v>202411</v>
      </c>
      <c r="S17" s="122"/>
      <c r="T17" s="122"/>
      <c r="U17" s="122"/>
      <c r="V17" s="122"/>
      <c r="W17" s="122"/>
      <c r="X17" s="122"/>
      <c r="Y17" s="122"/>
      <c r="Z17" s="121">
        <v>1</v>
      </c>
      <c r="AA17" s="121">
        <v>1</v>
      </c>
      <c r="AB17" s="121">
        <v>1</v>
      </c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</row>
    <row r="18" ht="13" spans="1:44">
      <c r="A18" s="87">
        <v>12</v>
      </c>
      <c r="B18" s="101" t="s">
        <v>33</v>
      </c>
      <c r="C18" s="101"/>
      <c r="D18" s="102">
        <v>10119</v>
      </c>
      <c r="E18" s="102" t="s">
        <v>34</v>
      </c>
      <c r="F18" s="102" t="str">
        <f>VLOOKUP('RPA RoadMap'!$B18,Inventory!$B$1:$N$38,7,FALSE)</f>
        <v>Daily</v>
      </c>
      <c r="G18" s="102">
        <f>VLOOKUP('RPA RoadMap'!$B18,Inventory!$B$1:$N$38,5,FALSE)</f>
        <v>5</v>
      </c>
      <c r="H18" s="103">
        <f t="shared" si="0"/>
        <v>0.648653846153846</v>
      </c>
      <c r="I18" s="103">
        <f t="shared" si="6"/>
        <v>0.389192307692308</v>
      </c>
      <c r="J18" s="115">
        <f t="shared" si="1"/>
        <v>389192.307692308</v>
      </c>
      <c r="K18" s="115">
        <f t="shared" si="2"/>
        <v>233515.384615385</v>
      </c>
      <c r="L18" s="102" t="s">
        <v>19</v>
      </c>
      <c r="M18" s="102" t="s">
        <v>12</v>
      </c>
      <c r="N18" s="116" t="s">
        <v>20</v>
      </c>
      <c r="O18" s="102">
        <f>VLOOKUP(_xlfn.CONCAT(E18,N18),'Estimation Guidelines'!C:L,10,FALSE)</f>
        <v>11.6</v>
      </c>
      <c r="P18" s="102" t="s">
        <v>490</v>
      </c>
      <c r="Q18" s="102" t="s">
        <v>36</v>
      </c>
      <c r="R18" s="102">
        <v>202411</v>
      </c>
      <c r="S18" s="122"/>
      <c r="T18" s="122"/>
      <c r="U18" s="122"/>
      <c r="V18" s="122"/>
      <c r="W18" s="122"/>
      <c r="X18" s="122"/>
      <c r="Y18" s="122"/>
      <c r="Z18" s="121">
        <v>1</v>
      </c>
      <c r="AA18" s="121">
        <v>1</v>
      </c>
      <c r="AB18" s="121">
        <v>1</v>
      </c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</row>
    <row r="19" ht="13" spans="1:44">
      <c r="A19" s="87">
        <v>14</v>
      </c>
      <c r="B19" s="101" t="s">
        <v>38</v>
      </c>
      <c r="C19" s="101"/>
      <c r="D19" s="102">
        <v>7232</v>
      </c>
      <c r="E19" s="102" t="s">
        <v>34</v>
      </c>
      <c r="F19" s="102" t="str">
        <f>VLOOKUP('RPA RoadMap'!$B19,Inventory!$B$1:$N$38,7,FALSE)</f>
        <v>Daily</v>
      </c>
      <c r="G19" s="102">
        <f>VLOOKUP('RPA RoadMap'!$B19,Inventory!$B$1:$N$38,5,FALSE)</f>
        <v>15</v>
      </c>
      <c r="H19" s="103">
        <f t="shared" si="0"/>
        <v>1.39076923076923</v>
      </c>
      <c r="I19" s="103">
        <f t="shared" si="6"/>
        <v>0.834461538461538</v>
      </c>
      <c r="J19" s="115">
        <f t="shared" si="1"/>
        <v>834461.538461538</v>
      </c>
      <c r="K19" s="115">
        <f t="shared" si="2"/>
        <v>500676.923076923</v>
      </c>
      <c r="L19" s="102" t="s">
        <v>19</v>
      </c>
      <c r="M19" s="102" t="s">
        <v>12</v>
      </c>
      <c r="N19" s="116" t="s">
        <v>20</v>
      </c>
      <c r="O19" s="102">
        <f>VLOOKUP(_xlfn.CONCAT(E19,N19),'Estimation Guidelines'!C:L,10,FALSE)</f>
        <v>11.6</v>
      </c>
      <c r="P19" s="102" t="s">
        <v>490</v>
      </c>
      <c r="Q19" s="102" t="s">
        <v>36</v>
      </c>
      <c r="R19" s="102">
        <v>202411</v>
      </c>
      <c r="S19" s="122"/>
      <c r="T19" s="122"/>
      <c r="U19" s="122"/>
      <c r="V19" s="122"/>
      <c r="W19" s="122"/>
      <c r="X19" s="122"/>
      <c r="Y19" s="122"/>
      <c r="Z19" s="121">
        <v>1</v>
      </c>
      <c r="AA19" s="121">
        <v>1</v>
      </c>
      <c r="AB19" s="121">
        <v>1</v>
      </c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</row>
    <row r="20" ht="13" spans="1:44">
      <c r="A20" s="87">
        <v>22</v>
      </c>
      <c r="B20" s="101" t="s">
        <v>50</v>
      </c>
      <c r="C20" s="101"/>
      <c r="D20" s="102">
        <v>4243</v>
      </c>
      <c r="E20" s="102" t="s">
        <v>11</v>
      </c>
      <c r="F20" s="102" t="str">
        <f>VLOOKUP('RPA RoadMap'!$B20,Inventory!$B$1:$N$38,7,FALSE)</f>
        <v>Monthly</v>
      </c>
      <c r="G20" s="102">
        <f>VLOOKUP('RPA RoadMap'!$B20,Inventory!$B$1:$N$38,5,FALSE)</f>
        <v>12</v>
      </c>
      <c r="H20" s="103">
        <f t="shared" si="0"/>
        <v>0.652769230769231</v>
      </c>
      <c r="I20" s="103">
        <f t="shared" si="6"/>
        <v>0.391661538461538</v>
      </c>
      <c r="J20" s="115">
        <f t="shared" si="1"/>
        <v>391661.538461538</v>
      </c>
      <c r="K20" s="115">
        <f t="shared" si="2"/>
        <v>234996.923076923</v>
      </c>
      <c r="L20" s="102" t="s">
        <v>19</v>
      </c>
      <c r="M20" s="102" t="s">
        <v>12</v>
      </c>
      <c r="N20" s="116" t="s">
        <v>20</v>
      </c>
      <c r="O20" s="102">
        <f>VLOOKUP(_xlfn.CONCAT(E20,N20),'Estimation Guidelines'!C:L,10,FALSE)</f>
        <v>8.6</v>
      </c>
      <c r="P20" s="102" t="s">
        <v>21</v>
      </c>
      <c r="Q20" s="102" t="s">
        <v>51</v>
      </c>
      <c r="R20" s="102">
        <v>202412</v>
      </c>
      <c r="S20" s="122"/>
      <c r="T20" s="122"/>
      <c r="U20" s="122"/>
      <c r="V20" s="122"/>
      <c r="W20" s="122"/>
      <c r="X20" s="122"/>
      <c r="Y20" s="122"/>
      <c r="Z20" s="122"/>
      <c r="AA20" s="121">
        <v>1</v>
      </c>
      <c r="AB20" s="121">
        <v>1</v>
      </c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</row>
    <row r="21" ht="13" spans="1:44">
      <c r="A21" s="87">
        <v>23</v>
      </c>
      <c r="B21" s="101" t="s">
        <v>52</v>
      </c>
      <c r="C21" s="101"/>
      <c r="D21" s="102">
        <v>5228</v>
      </c>
      <c r="E21" s="102" t="s">
        <v>11</v>
      </c>
      <c r="F21" s="102" t="str">
        <f>VLOOKUP('RPA RoadMap'!$B21,Inventory!$B$1:$N$38,7,FALSE)</f>
        <v>Daily</v>
      </c>
      <c r="G21" s="102">
        <f>VLOOKUP('RPA RoadMap'!$B21,Inventory!$B$1:$N$38,5,FALSE)</f>
        <v>30</v>
      </c>
      <c r="H21" s="103">
        <f t="shared" si="0"/>
        <v>2.01076923076923</v>
      </c>
      <c r="I21" s="103">
        <f t="shared" si="6"/>
        <v>1.20646153846154</v>
      </c>
      <c r="J21" s="115">
        <f t="shared" si="1"/>
        <v>1206461.53846154</v>
      </c>
      <c r="K21" s="115">
        <f t="shared" si="2"/>
        <v>723876.923076923</v>
      </c>
      <c r="L21" s="102" t="s">
        <v>19</v>
      </c>
      <c r="M21" s="102" t="s">
        <v>12</v>
      </c>
      <c r="N21" s="116" t="s">
        <v>20</v>
      </c>
      <c r="O21" s="102">
        <f>VLOOKUP(_xlfn.CONCAT(E21,N21),'Estimation Guidelines'!C:L,10,FALSE)</f>
        <v>8.6</v>
      </c>
      <c r="P21" s="102" t="s">
        <v>100</v>
      </c>
      <c r="Q21" s="102" t="s">
        <v>53</v>
      </c>
      <c r="R21" s="102">
        <v>202502</v>
      </c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1">
        <v>1</v>
      </c>
      <c r="AD21" s="121">
        <v>1</v>
      </c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</row>
    <row r="22" ht="13" spans="1:44">
      <c r="A22" s="87">
        <v>34</v>
      </c>
      <c r="B22" s="101" t="s">
        <v>68</v>
      </c>
      <c r="C22" s="101"/>
      <c r="D22" s="104">
        <v>1639</v>
      </c>
      <c r="E22" s="102" t="s">
        <v>11</v>
      </c>
      <c r="F22" s="102" t="s">
        <v>491</v>
      </c>
      <c r="G22" s="105">
        <v>10</v>
      </c>
      <c r="H22" s="103">
        <f t="shared" si="0"/>
        <v>0.210128205128205</v>
      </c>
      <c r="I22" s="103">
        <f t="shared" si="4"/>
        <v>0.168102564102564</v>
      </c>
      <c r="J22" s="115">
        <f t="shared" si="1"/>
        <v>126076.923076923</v>
      </c>
      <c r="K22" s="115">
        <f t="shared" si="2"/>
        <v>100861.538461538</v>
      </c>
      <c r="L22" s="102" t="s">
        <v>19</v>
      </c>
      <c r="M22" s="102" t="s">
        <v>12</v>
      </c>
      <c r="N22" s="102" t="s">
        <v>13</v>
      </c>
      <c r="O22" s="102">
        <f>VLOOKUP(_xlfn.CONCAT(E22,N22),'Estimation Guidelines'!C:L,10,FALSE)</f>
        <v>5.8</v>
      </c>
      <c r="P22" s="102" t="s">
        <v>21</v>
      </c>
      <c r="Q22" s="102" t="s">
        <v>53</v>
      </c>
      <c r="R22" s="102">
        <v>202502</v>
      </c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1">
        <v>1</v>
      </c>
      <c r="AD22" s="121">
        <v>1</v>
      </c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</row>
    <row r="23" ht="13" spans="1:44">
      <c r="A23" s="87">
        <v>35</v>
      </c>
      <c r="B23" s="101" t="s">
        <v>70</v>
      </c>
      <c r="C23" s="101"/>
      <c r="D23" s="104">
        <v>2025</v>
      </c>
      <c r="E23" s="102" t="s">
        <v>11</v>
      </c>
      <c r="F23" s="102" t="s">
        <v>364</v>
      </c>
      <c r="G23" s="105">
        <v>10</v>
      </c>
      <c r="H23" s="103">
        <f t="shared" si="0"/>
        <v>0.259615384615385</v>
      </c>
      <c r="I23" s="103">
        <f t="shared" si="4"/>
        <v>0.207692307692308</v>
      </c>
      <c r="J23" s="115">
        <f t="shared" si="1"/>
        <v>155769.230769231</v>
      </c>
      <c r="K23" s="115">
        <f t="shared" si="2"/>
        <v>124615.384615385</v>
      </c>
      <c r="L23" s="102" t="s">
        <v>19</v>
      </c>
      <c r="M23" s="102" t="s">
        <v>12</v>
      </c>
      <c r="N23" s="102" t="s">
        <v>13</v>
      </c>
      <c r="O23" s="102">
        <f>VLOOKUP(_xlfn.CONCAT(E23,N23),'Estimation Guidelines'!C:L,10,FALSE)</f>
        <v>5.8</v>
      </c>
      <c r="P23" s="102" t="s">
        <v>100</v>
      </c>
      <c r="Q23" s="102" t="s">
        <v>101</v>
      </c>
      <c r="R23" s="102">
        <v>202504</v>
      </c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1">
        <v>1</v>
      </c>
      <c r="AF23" s="121">
        <v>1</v>
      </c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</row>
    <row r="24" ht="13" spans="1:44">
      <c r="A24" s="87">
        <v>36</v>
      </c>
      <c r="B24" s="101" t="s">
        <v>72</v>
      </c>
      <c r="C24" s="101"/>
      <c r="D24" s="104">
        <v>2013</v>
      </c>
      <c r="E24" s="102" t="s">
        <v>11</v>
      </c>
      <c r="F24" s="102" t="s">
        <v>491</v>
      </c>
      <c r="G24" s="105">
        <v>10</v>
      </c>
      <c r="H24" s="103">
        <f t="shared" si="0"/>
        <v>0.258076923076923</v>
      </c>
      <c r="I24" s="103">
        <f t="shared" ref="I24:I25" si="7">H24*0.6</f>
        <v>0.154846153846154</v>
      </c>
      <c r="J24" s="115">
        <f t="shared" si="1"/>
        <v>154846.153846154</v>
      </c>
      <c r="K24" s="115">
        <f t="shared" si="2"/>
        <v>92907.6923076923</v>
      </c>
      <c r="L24" s="102" t="s">
        <v>19</v>
      </c>
      <c r="M24" s="102" t="s">
        <v>12</v>
      </c>
      <c r="N24" s="102" t="s">
        <v>20</v>
      </c>
      <c r="O24" s="102">
        <f>VLOOKUP(_xlfn.CONCAT(E24,N24),'Estimation Guidelines'!C:L,10,FALSE)</f>
        <v>8.6</v>
      </c>
      <c r="P24" s="102" t="s">
        <v>21</v>
      </c>
      <c r="Q24" s="102" t="s">
        <v>102</v>
      </c>
      <c r="R24" s="102">
        <v>202504</v>
      </c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1">
        <v>1</v>
      </c>
      <c r="AF24" s="121">
        <v>1</v>
      </c>
      <c r="AG24" s="121">
        <v>1</v>
      </c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</row>
    <row r="25" ht="13" spans="1:44">
      <c r="A25" s="87">
        <v>37</v>
      </c>
      <c r="B25" s="101" t="s">
        <v>74</v>
      </c>
      <c r="C25" s="101"/>
      <c r="D25" s="104">
        <v>1931</v>
      </c>
      <c r="E25" s="102" t="s">
        <v>11</v>
      </c>
      <c r="F25" s="102" t="s">
        <v>364</v>
      </c>
      <c r="G25" s="105">
        <v>10</v>
      </c>
      <c r="H25" s="103">
        <f t="shared" si="0"/>
        <v>0.247564102564103</v>
      </c>
      <c r="I25" s="103">
        <f t="shared" si="7"/>
        <v>0.148538461538462</v>
      </c>
      <c r="J25" s="115">
        <f t="shared" si="1"/>
        <v>148538.461538462</v>
      </c>
      <c r="K25" s="115">
        <f t="shared" si="2"/>
        <v>89123.0769230769</v>
      </c>
      <c r="L25" s="102" t="s">
        <v>19</v>
      </c>
      <c r="M25" s="102" t="s">
        <v>12</v>
      </c>
      <c r="N25" s="102" t="s">
        <v>20</v>
      </c>
      <c r="O25" s="102">
        <f>VLOOKUP(_xlfn.CONCAT(E25,N25),'Estimation Guidelines'!C:L,10,FALSE)</f>
        <v>8.6</v>
      </c>
      <c r="P25" s="102" t="s">
        <v>100</v>
      </c>
      <c r="Q25" s="102" t="s">
        <v>103</v>
      </c>
      <c r="R25" s="102">
        <v>202506</v>
      </c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1">
        <v>1</v>
      </c>
      <c r="AH25" s="121">
        <v>1</v>
      </c>
      <c r="AI25" s="121">
        <v>1</v>
      </c>
      <c r="AJ25" s="122"/>
      <c r="AK25" s="122"/>
      <c r="AL25" s="122"/>
      <c r="AM25" s="122"/>
      <c r="AN25" s="122"/>
      <c r="AO25" s="122"/>
      <c r="AP25" s="122"/>
      <c r="AQ25" s="122"/>
      <c r="AR25" s="122"/>
    </row>
    <row r="26" ht="13" spans="1:44">
      <c r="A26" s="87">
        <v>7</v>
      </c>
      <c r="B26" s="101" t="s">
        <v>25</v>
      </c>
      <c r="C26" s="101"/>
      <c r="D26" s="102">
        <v>6804</v>
      </c>
      <c r="E26" s="102" t="s">
        <v>11</v>
      </c>
      <c r="F26" s="102" t="s">
        <v>318</v>
      </c>
      <c r="G26" s="105">
        <v>10</v>
      </c>
      <c r="H26" s="103">
        <f t="shared" si="0"/>
        <v>0.872307692307692</v>
      </c>
      <c r="I26" s="103">
        <f t="shared" si="4"/>
        <v>0.697846153846154</v>
      </c>
      <c r="J26" s="115">
        <f t="shared" si="1"/>
        <v>523384.615384615</v>
      </c>
      <c r="K26" s="115">
        <f t="shared" si="2"/>
        <v>418707.692307692</v>
      </c>
      <c r="L26" s="102" t="s">
        <v>19</v>
      </c>
      <c r="M26" s="102" t="s">
        <v>12</v>
      </c>
      <c r="N26" s="102" t="s">
        <v>13</v>
      </c>
      <c r="O26" s="102">
        <f>VLOOKUP(_xlfn.CONCAT(E26,N26),'Estimation Guidelines'!C:L,10,FALSE)</f>
        <v>5.8</v>
      </c>
      <c r="P26" s="102" t="s">
        <v>21</v>
      </c>
      <c r="Q26" s="123">
        <v>45839</v>
      </c>
      <c r="R26" s="102">
        <v>202507</v>
      </c>
      <c r="S26" s="122"/>
      <c r="T26" s="87"/>
      <c r="U26" s="122"/>
      <c r="V26" s="87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1">
        <v>1</v>
      </c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</row>
    <row r="27" ht="13" spans="1:44">
      <c r="A27" s="87">
        <v>40</v>
      </c>
      <c r="B27" s="101" t="s">
        <v>79</v>
      </c>
      <c r="C27" s="101"/>
      <c r="D27" s="104">
        <v>4037</v>
      </c>
      <c r="E27" s="102" t="s">
        <v>11</v>
      </c>
      <c r="F27" s="102" t="s">
        <v>318</v>
      </c>
      <c r="G27" s="105">
        <v>10</v>
      </c>
      <c r="H27" s="103">
        <f t="shared" si="0"/>
        <v>0.517564102564103</v>
      </c>
      <c r="I27" s="103">
        <f t="shared" si="4"/>
        <v>0.414051282051282</v>
      </c>
      <c r="J27" s="115">
        <f t="shared" si="1"/>
        <v>310538.461538462</v>
      </c>
      <c r="K27" s="115">
        <f t="shared" si="2"/>
        <v>248430.769230769</v>
      </c>
      <c r="L27" s="102" t="s">
        <v>19</v>
      </c>
      <c r="M27" s="102" t="s">
        <v>12</v>
      </c>
      <c r="N27" s="102" t="s">
        <v>13</v>
      </c>
      <c r="O27" s="102">
        <f>VLOOKUP(_xlfn.CONCAT(E27,N27),'Estimation Guidelines'!C:L,10,FALSE)</f>
        <v>5.8</v>
      </c>
      <c r="P27" s="102" t="s">
        <v>21</v>
      </c>
      <c r="Q27" s="102" t="s">
        <v>104</v>
      </c>
      <c r="R27" s="102">
        <v>202508</v>
      </c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1">
        <v>1</v>
      </c>
      <c r="AJ27" s="121">
        <v>1</v>
      </c>
      <c r="AK27" s="122"/>
      <c r="AL27" s="122"/>
      <c r="AM27" s="122"/>
      <c r="AN27" s="122"/>
      <c r="AO27" s="122"/>
      <c r="AP27" s="122"/>
      <c r="AQ27" s="122"/>
      <c r="AR27" s="122"/>
    </row>
    <row r="28" ht="13" spans="1:44">
      <c r="A28" s="87">
        <v>39</v>
      </c>
      <c r="B28" s="101" t="s">
        <v>77</v>
      </c>
      <c r="C28" s="101"/>
      <c r="D28" s="104">
        <v>1926</v>
      </c>
      <c r="E28" s="102" t="s">
        <v>11</v>
      </c>
      <c r="F28" s="102" t="s">
        <v>318</v>
      </c>
      <c r="G28" s="105">
        <v>10</v>
      </c>
      <c r="H28" s="103">
        <f t="shared" si="0"/>
        <v>0.246923076923077</v>
      </c>
      <c r="I28" s="103">
        <f t="shared" si="4"/>
        <v>0.197538461538462</v>
      </c>
      <c r="J28" s="115">
        <f t="shared" si="1"/>
        <v>148153.846153846</v>
      </c>
      <c r="K28" s="115">
        <f t="shared" si="2"/>
        <v>118523.076923077</v>
      </c>
      <c r="L28" s="102" t="s">
        <v>19</v>
      </c>
      <c r="M28" s="102" t="s">
        <v>12</v>
      </c>
      <c r="N28" s="102" t="s">
        <v>13</v>
      </c>
      <c r="O28" s="102">
        <f>VLOOKUP(_xlfn.CONCAT(E28,N28),'Estimation Guidelines'!C:L,10,FALSE)</f>
        <v>5.8</v>
      </c>
      <c r="P28" s="102" t="s">
        <v>100</v>
      </c>
      <c r="Q28" s="102" t="s">
        <v>105</v>
      </c>
      <c r="R28" s="102">
        <v>202509</v>
      </c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1">
        <v>1</v>
      </c>
      <c r="AK28" s="121">
        <v>1</v>
      </c>
      <c r="AL28" s="122"/>
      <c r="AM28" s="122"/>
      <c r="AN28" s="122"/>
      <c r="AO28" s="122"/>
      <c r="AP28" s="122"/>
      <c r="AQ28" s="122"/>
      <c r="AR28" s="122"/>
    </row>
    <row r="29" ht="13" spans="1:44">
      <c r="A29" s="87">
        <v>42</v>
      </c>
      <c r="B29" s="101" t="s">
        <v>82</v>
      </c>
      <c r="C29" s="101"/>
      <c r="D29" s="104">
        <v>4381</v>
      </c>
      <c r="E29" s="102" t="s">
        <v>11</v>
      </c>
      <c r="F29" s="102" t="s">
        <v>343</v>
      </c>
      <c r="G29" s="105">
        <v>10</v>
      </c>
      <c r="H29" s="103">
        <f t="shared" si="0"/>
        <v>0.561666666666667</v>
      </c>
      <c r="I29" s="103">
        <f t="shared" si="4"/>
        <v>0.449333333333333</v>
      </c>
      <c r="J29" s="115">
        <f t="shared" si="1"/>
        <v>337000</v>
      </c>
      <c r="K29" s="115">
        <f t="shared" si="2"/>
        <v>269600</v>
      </c>
      <c r="L29" s="102" t="s">
        <v>19</v>
      </c>
      <c r="M29" s="102" t="s">
        <v>12</v>
      </c>
      <c r="N29" s="102" t="s">
        <v>13</v>
      </c>
      <c r="O29" s="102">
        <f>VLOOKUP(_xlfn.CONCAT(E29,N29),'Estimation Guidelines'!C:L,10,FALSE)</f>
        <v>5.8</v>
      </c>
      <c r="P29" s="102" t="s">
        <v>21</v>
      </c>
      <c r="Q29" s="102" t="s">
        <v>106</v>
      </c>
      <c r="R29" s="102">
        <v>202510</v>
      </c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1">
        <v>1</v>
      </c>
      <c r="AL29" s="121">
        <v>1</v>
      </c>
      <c r="AM29" s="122"/>
      <c r="AN29" s="122"/>
      <c r="AO29" s="122"/>
      <c r="AP29" s="122"/>
      <c r="AQ29" s="122"/>
      <c r="AR29" s="122"/>
    </row>
    <row r="30" ht="13" spans="1:44">
      <c r="A30" s="87">
        <v>43</v>
      </c>
      <c r="B30" s="101" t="s">
        <v>83</v>
      </c>
      <c r="C30" s="101"/>
      <c r="D30" s="104">
        <v>7125</v>
      </c>
      <c r="E30" s="102" t="s">
        <v>11</v>
      </c>
      <c r="F30" s="102" t="s">
        <v>364</v>
      </c>
      <c r="G30" s="105">
        <v>10</v>
      </c>
      <c r="H30" s="103">
        <f t="shared" si="0"/>
        <v>0.913461538461538</v>
      </c>
      <c r="I30" s="103">
        <f t="shared" si="4"/>
        <v>0.730769230769231</v>
      </c>
      <c r="J30" s="115">
        <f t="shared" si="1"/>
        <v>548076.923076923</v>
      </c>
      <c r="K30" s="115">
        <f t="shared" si="2"/>
        <v>438461.538461538</v>
      </c>
      <c r="L30" s="102" t="s">
        <v>19</v>
      </c>
      <c r="M30" s="102" t="s">
        <v>12</v>
      </c>
      <c r="N30" s="102" t="s">
        <v>13</v>
      </c>
      <c r="O30" s="102">
        <f>VLOOKUP(_xlfn.CONCAT(E30,N30),'Estimation Guidelines'!C:L,10,FALSE)</f>
        <v>5.8</v>
      </c>
      <c r="P30" s="102" t="s">
        <v>100</v>
      </c>
      <c r="Q30" s="102" t="s">
        <v>107</v>
      </c>
      <c r="R30" s="102">
        <v>202511</v>
      </c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1">
        <v>1</v>
      </c>
      <c r="AM30" s="121">
        <v>1</v>
      </c>
      <c r="AN30" s="87"/>
      <c r="AO30" s="87"/>
      <c r="AP30" s="122"/>
      <c r="AQ30" s="122"/>
      <c r="AR30" s="122"/>
    </row>
    <row r="31" ht="13" spans="1:44">
      <c r="A31" s="87">
        <v>8</v>
      </c>
      <c r="B31" s="101" t="s">
        <v>27</v>
      </c>
      <c r="C31" s="101"/>
      <c r="D31" s="102">
        <v>5170</v>
      </c>
      <c r="E31" s="102" t="s">
        <v>11</v>
      </c>
      <c r="F31" s="102" t="str">
        <f>VLOOKUP('RPA RoadMap'!$B31,Inventory!$B$1:$N$38,7,FALSE)</f>
        <v>Daily</v>
      </c>
      <c r="G31" s="105">
        <v>10</v>
      </c>
      <c r="H31" s="103">
        <f t="shared" si="0"/>
        <v>0.662820512820513</v>
      </c>
      <c r="I31" s="103">
        <f t="shared" ref="I31:I34" si="8">H31*0.6</f>
        <v>0.397692307692308</v>
      </c>
      <c r="J31" s="115">
        <f t="shared" si="1"/>
        <v>397692.307692308</v>
      </c>
      <c r="K31" s="115">
        <f t="shared" si="2"/>
        <v>238615.384615385</v>
      </c>
      <c r="L31" s="102" t="s">
        <v>19</v>
      </c>
      <c r="M31" s="102" t="s">
        <v>12</v>
      </c>
      <c r="N31" s="102" t="s">
        <v>20</v>
      </c>
      <c r="O31" s="102">
        <f>VLOOKUP(_xlfn.CONCAT(E31,N31),'Estimation Guidelines'!C:L,10,FALSE)</f>
        <v>8.6</v>
      </c>
      <c r="P31" s="102" t="s">
        <v>21</v>
      </c>
      <c r="Q31" s="102" t="s">
        <v>108</v>
      </c>
      <c r="R31" s="102">
        <v>202512</v>
      </c>
      <c r="S31" s="122"/>
      <c r="T31" s="122"/>
      <c r="U31" s="87"/>
      <c r="V31" s="87"/>
      <c r="W31" s="122"/>
      <c r="X31" s="122"/>
      <c r="Y31" s="122"/>
      <c r="Z31" s="87"/>
      <c r="AA31" s="87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1">
        <v>1</v>
      </c>
      <c r="AN31" s="121">
        <v>1</v>
      </c>
      <c r="AO31" s="122"/>
      <c r="AP31" s="122"/>
      <c r="AQ31" s="122"/>
      <c r="AR31" s="122"/>
    </row>
    <row r="32" ht="13" spans="1:44">
      <c r="A32" s="87">
        <v>10</v>
      </c>
      <c r="B32" s="101" t="s">
        <v>30</v>
      </c>
      <c r="C32" s="101"/>
      <c r="D32" s="102">
        <v>5159</v>
      </c>
      <c r="E32" s="102" t="s">
        <v>11</v>
      </c>
      <c r="F32" s="102" t="str">
        <f>VLOOKUP('RPA RoadMap'!$B32,Inventory!$B$1:$N$38,7,FALSE)</f>
        <v>On Demand</v>
      </c>
      <c r="G32" s="102">
        <f>VLOOKUP('RPA RoadMap'!$B32,Inventory!$B$1:$N$38,5,FALSE)</f>
        <v>20</v>
      </c>
      <c r="H32" s="103">
        <f t="shared" si="0"/>
        <v>1.32282051282051</v>
      </c>
      <c r="I32" s="103">
        <f t="shared" si="8"/>
        <v>0.793692307692308</v>
      </c>
      <c r="J32" s="115">
        <f t="shared" si="1"/>
        <v>793692.307692308</v>
      </c>
      <c r="K32" s="115">
        <f t="shared" si="2"/>
        <v>476215.384615385</v>
      </c>
      <c r="L32" s="102" t="s">
        <v>19</v>
      </c>
      <c r="M32" s="102" t="s">
        <v>12</v>
      </c>
      <c r="N32" s="102" t="s">
        <v>20</v>
      </c>
      <c r="O32" s="102">
        <f>VLOOKUP(_xlfn.CONCAT(E32,N32),'Estimation Guidelines'!C:L,10,FALSE)</f>
        <v>8.6</v>
      </c>
      <c r="P32" s="102" t="s">
        <v>21</v>
      </c>
      <c r="Q32" s="102" t="s">
        <v>109</v>
      </c>
      <c r="R32" s="102">
        <v>202601</v>
      </c>
      <c r="S32" s="87"/>
      <c r="T32" s="87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1">
        <v>1</v>
      </c>
      <c r="AO32" s="121">
        <v>1</v>
      </c>
      <c r="AP32" s="121">
        <v>1</v>
      </c>
      <c r="AQ32" s="87"/>
      <c r="AR32" s="87"/>
    </row>
    <row r="33" ht="13" spans="1:44">
      <c r="A33" s="87">
        <v>44</v>
      </c>
      <c r="B33" s="101" t="s">
        <v>84</v>
      </c>
      <c r="C33" s="101"/>
      <c r="D33" s="104">
        <v>2192</v>
      </c>
      <c r="E33" s="102" t="s">
        <v>11</v>
      </c>
      <c r="F33" s="102" t="s">
        <v>318</v>
      </c>
      <c r="G33" s="105">
        <v>10</v>
      </c>
      <c r="H33" s="103">
        <f t="shared" si="0"/>
        <v>0.281025641025641</v>
      </c>
      <c r="I33" s="103">
        <f t="shared" si="8"/>
        <v>0.168615384615385</v>
      </c>
      <c r="J33" s="115">
        <f t="shared" si="1"/>
        <v>168615.384615385</v>
      </c>
      <c r="K33" s="115">
        <f t="shared" si="2"/>
        <v>101169.230769231</v>
      </c>
      <c r="L33" s="102" t="s">
        <v>19</v>
      </c>
      <c r="M33" s="102" t="s">
        <v>12</v>
      </c>
      <c r="N33" s="102" t="s">
        <v>20</v>
      </c>
      <c r="O33" s="102">
        <f>VLOOKUP(_xlfn.CONCAT(E33,N33),'Estimation Guidelines'!C:L,10,FALSE)</f>
        <v>8.6</v>
      </c>
      <c r="P33" s="102" t="s">
        <v>21</v>
      </c>
      <c r="Q33" s="102" t="s">
        <v>110</v>
      </c>
      <c r="R33" s="102">
        <v>202602</v>
      </c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87"/>
      <c r="AN33" s="87"/>
      <c r="AO33" s="124">
        <v>1</v>
      </c>
      <c r="AP33" s="124">
        <v>1</v>
      </c>
      <c r="AQ33" s="122"/>
      <c r="AR33" s="122"/>
    </row>
    <row r="34" ht="13" spans="1:44">
      <c r="A34" s="87">
        <v>45</v>
      </c>
      <c r="B34" s="101" t="s">
        <v>85</v>
      </c>
      <c r="C34" s="101"/>
      <c r="D34" s="104">
        <v>2676</v>
      </c>
      <c r="E34" s="102" t="s">
        <v>11</v>
      </c>
      <c r="F34" s="102" t="s">
        <v>355</v>
      </c>
      <c r="G34" s="105">
        <v>10</v>
      </c>
      <c r="H34" s="103">
        <f t="shared" si="0"/>
        <v>0.343076923076923</v>
      </c>
      <c r="I34" s="103">
        <f t="shared" si="8"/>
        <v>0.205846153846154</v>
      </c>
      <c r="J34" s="115">
        <f t="shared" si="1"/>
        <v>205846.153846154</v>
      </c>
      <c r="K34" s="115">
        <f t="shared" si="2"/>
        <v>123507.692307692</v>
      </c>
      <c r="L34" s="102" t="s">
        <v>19</v>
      </c>
      <c r="M34" s="102" t="s">
        <v>12</v>
      </c>
      <c r="N34" s="102" t="s">
        <v>20</v>
      </c>
      <c r="O34" s="102">
        <f>VLOOKUP(_xlfn.CONCAT(E34,N34),'Estimation Guidelines'!C:L,10,FALSE)</f>
        <v>8.6</v>
      </c>
      <c r="P34" s="102" t="s">
        <v>100</v>
      </c>
      <c r="Q34" s="102" t="s">
        <v>111</v>
      </c>
      <c r="R34" s="102">
        <v>202603</v>
      </c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87"/>
      <c r="AO34" s="87"/>
      <c r="AP34" s="121">
        <v>1</v>
      </c>
      <c r="AQ34" s="121">
        <v>1</v>
      </c>
      <c r="AR34" s="121">
        <v>1</v>
      </c>
    </row>
    <row r="35" ht="14.5" spans="1:18">
      <c r="A35" s="87">
        <v>1</v>
      </c>
      <c r="B35" s="106" t="s">
        <v>10</v>
      </c>
      <c r="C35" s="106"/>
      <c r="D35" s="107">
        <v>6089</v>
      </c>
      <c r="E35" s="107" t="s">
        <v>11</v>
      </c>
      <c r="F35" s="102" t="str">
        <f>VLOOKUP('RPA RoadMap'!$B35,Inventory!$B$1:$N$38,7,FALSE)</f>
        <v>Daily</v>
      </c>
      <c r="G35" s="102">
        <f>VLOOKUP('RPA RoadMap'!$B35,Inventory!$B$1:$N$38,5,FALSE)</f>
        <v>6</v>
      </c>
      <c r="H35" s="103">
        <f>(((D35/200)*G35)/60/6.5)*16.67</f>
        <v>7.80797153846154</v>
      </c>
      <c r="I35" s="107"/>
      <c r="J35" s="107"/>
      <c r="K35" s="107"/>
      <c r="L35" s="107" t="s">
        <v>12</v>
      </c>
      <c r="M35" s="107" t="s">
        <v>12</v>
      </c>
      <c r="N35" s="117" t="s">
        <v>13</v>
      </c>
      <c r="O35" s="107"/>
      <c r="P35" s="107" t="s">
        <v>14</v>
      </c>
      <c r="Q35" s="107"/>
      <c r="R35" s="107"/>
    </row>
    <row r="36" ht="14.5" spans="1:18">
      <c r="A36" s="87">
        <v>2</v>
      </c>
      <c r="B36" s="108" t="s">
        <v>15</v>
      </c>
      <c r="C36" s="108"/>
      <c r="D36" s="87">
        <v>3933</v>
      </c>
      <c r="E36" s="87" t="s">
        <v>11</v>
      </c>
      <c r="F36" s="102" t="str">
        <f>VLOOKUP('RPA RoadMap'!$B36,Inventory!$B$1:$N$38,7,FALSE)</f>
        <v>Daily</v>
      </c>
      <c r="G36" s="102">
        <f>VLOOKUP('RPA RoadMap'!$B36,Inventory!$B$1:$N$38,5,FALSE)</f>
        <v>5</v>
      </c>
      <c r="H36" s="87"/>
      <c r="I36" s="87"/>
      <c r="J36" s="87"/>
      <c r="K36" s="87"/>
      <c r="L36" s="87" t="s">
        <v>12</v>
      </c>
      <c r="M36" s="87" t="s">
        <v>12</v>
      </c>
      <c r="N36" s="118" t="s">
        <v>16</v>
      </c>
      <c r="O36" s="87"/>
      <c r="P36" s="87" t="s">
        <v>14</v>
      </c>
      <c r="Q36" s="87"/>
      <c r="R36" s="87"/>
    </row>
    <row r="37" ht="14.5" spans="1:18">
      <c r="A37" s="87">
        <v>3</v>
      </c>
      <c r="B37" s="108" t="s">
        <v>17</v>
      </c>
      <c r="C37" s="108"/>
      <c r="D37" s="87">
        <v>10692</v>
      </c>
      <c r="E37" s="87" t="s">
        <v>11</v>
      </c>
      <c r="F37" s="102" t="str">
        <f>VLOOKUP('RPA RoadMap'!$B37,Inventory!$B$1:$N$38,7,FALSE)</f>
        <v>Daily</v>
      </c>
      <c r="G37" s="102">
        <f>VLOOKUP('RPA RoadMap'!$B37,Inventory!$B$1:$N$38,5,FALSE)</f>
        <v>5</v>
      </c>
      <c r="H37" s="87"/>
      <c r="I37" s="87"/>
      <c r="J37" s="87"/>
      <c r="K37" s="87"/>
      <c r="L37" s="87" t="s">
        <v>12</v>
      </c>
      <c r="M37" s="87" t="s">
        <v>12</v>
      </c>
      <c r="N37" s="118" t="s">
        <v>13</v>
      </c>
      <c r="O37" s="87"/>
      <c r="P37" s="87" t="s">
        <v>14</v>
      </c>
      <c r="Q37" s="87"/>
      <c r="R37" s="87"/>
    </row>
    <row r="38" ht="14.5" spans="1:18">
      <c r="A38" s="87">
        <v>5</v>
      </c>
      <c r="B38" s="109" t="s">
        <v>23</v>
      </c>
      <c r="C38" s="109"/>
      <c r="D38" s="87">
        <v>4</v>
      </c>
      <c r="E38" s="87" t="s">
        <v>11</v>
      </c>
      <c r="F38" s="87"/>
      <c r="G38" s="102">
        <f>VLOOKUP('RPA RoadMap'!$B38,Inventory!$B$1:$N$38,5,FALSE)</f>
        <v>0</v>
      </c>
      <c r="H38" s="87"/>
      <c r="I38" s="87"/>
      <c r="J38" s="87"/>
      <c r="K38" s="87"/>
      <c r="L38" s="87"/>
      <c r="M38" s="87" t="s">
        <v>19</v>
      </c>
      <c r="N38" s="119"/>
      <c r="O38" s="87"/>
      <c r="P38" s="87"/>
      <c r="Q38" s="87"/>
      <c r="R38" s="87"/>
    </row>
    <row r="39" ht="14.5" spans="1:18">
      <c r="A39" s="87">
        <v>6</v>
      </c>
      <c r="B39" s="109" t="s">
        <v>24</v>
      </c>
      <c r="C39" s="109"/>
      <c r="D39" s="87">
        <v>7</v>
      </c>
      <c r="E39" s="87" t="s">
        <v>11</v>
      </c>
      <c r="F39" s="87"/>
      <c r="G39" s="102">
        <f>VLOOKUP('RPA RoadMap'!$B39,Inventory!$B$1:$N$38,5,FALSE)</f>
        <v>0</v>
      </c>
      <c r="H39" s="87"/>
      <c r="I39" s="87"/>
      <c r="J39" s="87"/>
      <c r="K39" s="87"/>
      <c r="L39" s="87"/>
      <c r="M39" s="87" t="s">
        <v>19</v>
      </c>
      <c r="N39" s="119"/>
      <c r="O39" s="87"/>
      <c r="P39" s="87"/>
      <c r="Q39" s="87"/>
      <c r="R39" s="87"/>
    </row>
    <row r="40" ht="14.5" spans="1:18">
      <c r="A40" s="87">
        <v>9</v>
      </c>
      <c r="B40" s="109" t="s">
        <v>29</v>
      </c>
      <c r="C40" s="109"/>
      <c r="D40" s="87">
        <v>1057</v>
      </c>
      <c r="E40" s="87" t="s">
        <v>11</v>
      </c>
      <c r="F40" s="87"/>
      <c r="G40" s="102">
        <f>VLOOKUP('RPA RoadMap'!$B40,Inventory!$B$1:$N$38,5,FALSE)</f>
        <v>5</v>
      </c>
      <c r="H40" s="87"/>
      <c r="I40" s="87"/>
      <c r="J40" s="87"/>
      <c r="K40" s="87"/>
      <c r="L40" s="87"/>
      <c r="M40" s="87" t="s">
        <v>19</v>
      </c>
      <c r="N40" s="118"/>
      <c r="O40" s="87"/>
      <c r="P40" s="87"/>
      <c r="Q40" s="87"/>
      <c r="R40" s="87"/>
    </row>
    <row r="41" ht="14.5" spans="1:18">
      <c r="A41" s="87">
        <v>11</v>
      </c>
      <c r="B41" s="109" t="s">
        <v>32</v>
      </c>
      <c r="C41" s="109"/>
      <c r="D41" s="87">
        <v>573</v>
      </c>
      <c r="E41" s="87" t="s">
        <v>11</v>
      </c>
      <c r="F41" s="87"/>
      <c r="G41" s="102">
        <f>VLOOKUP('RPA RoadMap'!$B41,Inventory!$B$1:$N$38,5,FALSE)</f>
        <v>10</v>
      </c>
      <c r="H41" s="87"/>
      <c r="I41" s="87"/>
      <c r="J41" s="87"/>
      <c r="K41" s="87"/>
      <c r="L41" s="87"/>
      <c r="M41" s="87" t="s">
        <v>19</v>
      </c>
      <c r="N41" s="118"/>
      <c r="O41" s="87"/>
      <c r="P41" s="87"/>
      <c r="Q41" s="87"/>
      <c r="R41" s="87"/>
    </row>
    <row r="42" ht="14.5" spans="1:18">
      <c r="A42" s="87">
        <v>21</v>
      </c>
      <c r="B42" s="109" t="s">
        <v>49</v>
      </c>
      <c r="C42" s="109"/>
      <c r="D42" s="87">
        <v>1277</v>
      </c>
      <c r="E42" s="87" t="s">
        <v>11</v>
      </c>
      <c r="F42" s="87"/>
      <c r="G42" s="102">
        <f>VLOOKUP('RPA RoadMap'!$B42,Inventory!$B$1:$N$38,5,FALSE)</f>
        <v>20</v>
      </c>
      <c r="H42" s="87"/>
      <c r="I42" s="87"/>
      <c r="J42" s="87"/>
      <c r="K42" s="87"/>
      <c r="L42" s="87"/>
      <c r="M42" s="87" t="s">
        <v>19</v>
      </c>
      <c r="N42" s="120"/>
      <c r="O42" s="87"/>
      <c r="P42" s="87"/>
      <c r="Q42" s="87"/>
      <c r="R42" s="87"/>
    </row>
    <row r="43" ht="13" spans="1:18">
      <c r="A43" s="87">
        <v>26</v>
      </c>
      <c r="B43" s="110" t="s">
        <v>59</v>
      </c>
      <c r="C43" s="110"/>
      <c r="D43" s="87">
        <v>48701</v>
      </c>
      <c r="E43" s="87" t="s">
        <v>11</v>
      </c>
      <c r="F43" s="102" t="str">
        <f>VLOOKUP('RPA RoadMap'!$B43,Inventory!$B$1:$N$38,7,FALSE)</f>
        <v>Daily</v>
      </c>
      <c r="G43" s="105">
        <v>10</v>
      </c>
      <c r="H43" s="87"/>
      <c r="I43" s="87"/>
      <c r="J43" s="87"/>
      <c r="K43" s="87"/>
      <c r="L43" s="87" t="s">
        <v>12</v>
      </c>
      <c r="M43" s="87" t="s">
        <v>12</v>
      </c>
      <c r="N43" s="87" t="s">
        <v>20</v>
      </c>
      <c r="O43" s="87"/>
      <c r="P43" s="87" t="s">
        <v>14</v>
      </c>
      <c r="Q43" s="87"/>
      <c r="R43" s="87"/>
    </row>
    <row r="44" ht="13" spans="1:18">
      <c r="A44" s="87">
        <v>27</v>
      </c>
      <c r="B44" s="110" t="s">
        <v>60</v>
      </c>
      <c r="C44" s="110" t="s">
        <v>492</v>
      </c>
      <c r="D44" s="87">
        <v>5310</v>
      </c>
      <c r="E44" s="87" t="s">
        <v>11</v>
      </c>
      <c r="F44" s="102" t="str">
        <f>VLOOKUP('RPA RoadMap'!$B44,Inventory!$B$1:$N$38,7,FALSE)</f>
        <v>Based on requirement</v>
      </c>
      <c r="G44" s="105">
        <v>10</v>
      </c>
      <c r="H44" s="87"/>
      <c r="I44" s="87"/>
      <c r="J44" s="87"/>
      <c r="K44" s="87"/>
      <c r="L44" s="87" t="s">
        <v>12</v>
      </c>
      <c r="M44" s="87" t="s">
        <v>12</v>
      </c>
      <c r="N44" s="87" t="s">
        <v>20</v>
      </c>
      <c r="O44" s="87"/>
      <c r="P44" s="87" t="s">
        <v>14</v>
      </c>
      <c r="Q44" s="87"/>
      <c r="R44" s="87"/>
    </row>
    <row r="45" ht="13" spans="1:18">
      <c r="A45" s="87">
        <v>28</v>
      </c>
      <c r="B45" s="110" t="s">
        <v>61</v>
      </c>
      <c r="C45" s="110" t="s">
        <v>493</v>
      </c>
      <c r="D45" s="87">
        <v>53182</v>
      </c>
      <c r="E45" s="87" t="s">
        <v>11</v>
      </c>
      <c r="F45" s="102" t="str">
        <f>VLOOKUP('RPA RoadMap'!$B45,Inventory!$B$1:$N$38,7,FALSE)</f>
        <v>Daily</v>
      </c>
      <c r="G45" s="105">
        <v>10</v>
      </c>
      <c r="H45" s="87"/>
      <c r="I45" s="87"/>
      <c r="J45" s="87"/>
      <c r="K45" s="87"/>
      <c r="L45" s="87" t="s">
        <v>12</v>
      </c>
      <c r="M45" s="87" t="s">
        <v>12</v>
      </c>
      <c r="N45" s="87" t="s">
        <v>16</v>
      </c>
      <c r="O45" s="87"/>
      <c r="P45" s="87" t="s">
        <v>62</v>
      </c>
      <c r="Q45" s="87"/>
      <c r="R45" s="87"/>
    </row>
    <row r="46" ht="13" spans="1:18">
      <c r="A46" s="87">
        <v>29</v>
      </c>
      <c r="B46" s="110" t="s">
        <v>63</v>
      </c>
      <c r="C46" s="110" t="s">
        <v>494</v>
      </c>
      <c r="D46" s="105">
        <v>5000</v>
      </c>
      <c r="E46" s="87" t="s">
        <v>11</v>
      </c>
      <c r="F46" s="102" t="str">
        <f>VLOOKUP('RPA RoadMap'!$B46,Inventory!$B$1:$N$38,7,FALSE)</f>
        <v>Based on requirement</v>
      </c>
      <c r="G46" s="105">
        <v>10</v>
      </c>
      <c r="H46" s="87"/>
      <c r="I46" s="87"/>
      <c r="J46" s="87"/>
      <c r="K46" s="87"/>
      <c r="L46" s="87" t="s">
        <v>12</v>
      </c>
      <c r="M46" s="87" t="s">
        <v>12</v>
      </c>
      <c r="N46" s="87" t="s">
        <v>16</v>
      </c>
      <c r="O46" s="87"/>
      <c r="P46" s="87" t="s">
        <v>62</v>
      </c>
      <c r="Q46" s="87"/>
      <c r="R46" s="87"/>
    </row>
    <row r="47" ht="72.75" customHeight="1" spans="1:18">
      <c r="A47" s="87">
        <v>30</v>
      </c>
      <c r="B47" s="111" t="s">
        <v>64</v>
      </c>
      <c r="C47" s="86" t="s">
        <v>495</v>
      </c>
      <c r="D47" s="105">
        <v>5000</v>
      </c>
      <c r="E47" s="87" t="s">
        <v>11</v>
      </c>
      <c r="F47" s="102" t="str">
        <f>VLOOKUP('RPA RoadMap'!$B47,Inventory!$B$1:$N$38,7,FALSE)</f>
        <v>Daily</v>
      </c>
      <c r="G47" s="105">
        <v>10</v>
      </c>
      <c r="H47" s="87"/>
      <c r="I47" s="87"/>
      <c r="J47" s="87"/>
      <c r="K47" s="87"/>
      <c r="L47" s="87" t="s">
        <v>12</v>
      </c>
      <c r="M47" s="87" t="s">
        <v>12</v>
      </c>
      <c r="N47" s="87" t="s">
        <v>16</v>
      </c>
      <c r="O47" s="87"/>
      <c r="P47" s="87" t="s">
        <v>62</v>
      </c>
      <c r="Q47" s="87"/>
      <c r="R47" s="87"/>
    </row>
    <row r="48" ht="13" spans="1:18">
      <c r="A48" s="87">
        <v>31</v>
      </c>
      <c r="B48" s="110" t="s">
        <v>65</v>
      </c>
      <c r="C48" s="110" t="s">
        <v>493</v>
      </c>
      <c r="D48" s="105">
        <v>5000</v>
      </c>
      <c r="E48" s="87" t="s">
        <v>11</v>
      </c>
      <c r="F48" s="102" t="str">
        <f>VLOOKUP('RPA RoadMap'!$B48,Inventory!$B$1:$N$38,7,FALSE)</f>
        <v>Daily</v>
      </c>
      <c r="G48" s="105">
        <v>10</v>
      </c>
      <c r="H48" s="87"/>
      <c r="I48" s="87"/>
      <c r="J48" s="87"/>
      <c r="K48" s="87"/>
      <c r="L48" s="87" t="s">
        <v>12</v>
      </c>
      <c r="M48" s="87" t="s">
        <v>12</v>
      </c>
      <c r="N48" s="87" t="s">
        <v>20</v>
      </c>
      <c r="O48" s="87"/>
      <c r="P48" s="87" t="s">
        <v>62</v>
      </c>
      <c r="Q48" s="87"/>
      <c r="R48" s="87"/>
    </row>
    <row r="49" ht="13" spans="1:18">
      <c r="A49" s="87">
        <v>32</v>
      </c>
      <c r="B49" s="111" t="s">
        <v>66</v>
      </c>
      <c r="C49" s="110" t="s">
        <v>496</v>
      </c>
      <c r="D49" s="87">
        <v>6316</v>
      </c>
      <c r="E49" s="87" t="s">
        <v>11</v>
      </c>
      <c r="F49" s="102" t="str">
        <f>VLOOKUP('RPA RoadMap'!$B49,Inventory!$B$1:$N$38,7,FALSE)</f>
        <v>Based on requirement</v>
      </c>
      <c r="G49" s="105">
        <v>10</v>
      </c>
      <c r="H49" s="103">
        <f>((D49/200)*G49)/60/6.5</f>
        <v>0.80974358974359</v>
      </c>
      <c r="I49" s="103">
        <f>H49*0.6</f>
        <v>0.485846153846154</v>
      </c>
      <c r="J49" s="115">
        <f>H49*600000</f>
        <v>485846.153846154</v>
      </c>
      <c r="K49" s="115">
        <f>I49*600000</f>
        <v>291507.692307692</v>
      </c>
      <c r="L49" s="87" t="s">
        <v>12</v>
      </c>
      <c r="M49" s="87" t="s">
        <v>12</v>
      </c>
      <c r="N49" s="87" t="s">
        <v>13</v>
      </c>
      <c r="O49" s="87"/>
      <c r="P49" s="87" t="s">
        <v>62</v>
      </c>
      <c r="Q49" s="87"/>
      <c r="R49" s="87"/>
    </row>
    <row r="50" ht="13" spans="2:2">
      <c r="B50" s="112" t="s">
        <v>497</v>
      </c>
    </row>
  </sheetData>
  <autoFilter xmlns:etc="http://www.wps.cn/officeDocument/2017/etCustomData" ref="A3:BW50" etc:filterBottomFollowUsedRange="0">
    <extLst/>
  </autoFilter>
  <sortState ref="A4:AR34">
    <sortCondition ref="R4:R34"/>
  </sortState>
  <mergeCells count="4">
    <mergeCell ref="B2:R2"/>
    <mergeCell ref="S2:AA2"/>
    <mergeCell ref="AB2:AM2"/>
    <mergeCell ref="AN2:AR2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5" activePane="bottomRight" state="frozen"/>
      <selection/>
      <selection pane="topRight"/>
      <selection pane="bottomLeft"/>
      <selection pane="bottomRight" activeCell="E19" sqref="E19"/>
    </sheetView>
  </sheetViews>
  <sheetFormatPr defaultColWidth="62.2818181818182" defaultRowHeight="12.75" customHeight="1"/>
  <cols>
    <col min="1" max="1" width="55" style="81" customWidth="1"/>
    <col min="2" max="2" width="18.8545454545455" style="81" customWidth="1"/>
    <col min="3" max="3" width="12.8545454545455" style="80" customWidth="1"/>
    <col min="4" max="4" width="14.4272727272727" style="82" customWidth="1"/>
    <col min="5" max="5" width="12.1363636363636" style="82" customWidth="1"/>
    <col min="6" max="6" width="16.2818181818182" style="82" customWidth="1"/>
    <col min="7" max="7" width="16" style="82" customWidth="1"/>
    <col min="8" max="8" width="24.7090909090909" style="80" customWidth="1"/>
    <col min="9" max="9" width="12.8545454545455" style="82" customWidth="1"/>
    <col min="10" max="16" width="11.8545454545455" style="82" customWidth="1"/>
    <col min="17" max="17" width="62.2818181818182" style="82" hidden="1" customWidth="1"/>
    <col min="18" max="16384" width="62.2818181818182" style="82"/>
  </cols>
  <sheetData>
    <row r="1" customHeight="1" spans="10:16">
      <c r="J1" s="83">
        <v>0.2</v>
      </c>
      <c r="K1" s="83">
        <v>0.15</v>
      </c>
      <c r="L1" s="83">
        <v>0.05</v>
      </c>
      <c r="M1" s="83">
        <v>0.2</v>
      </c>
      <c r="N1" s="83">
        <v>0.05</v>
      </c>
      <c r="O1" s="83">
        <v>0.35</v>
      </c>
      <c r="P1" s="88">
        <f>SUM(J1:O1)</f>
        <v>1</v>
      </c>
    </row>
    <row r="2" s="80" customFormat="1" ht="39" spans="1:17">
      <c r="A2" s="84" t="s">
        <v>1</v>
      </c>
      <c r="B2" s="84" t="s">
        <v>498</v>
      </c>
      <c r="C2" s="84" t="s">
        <v>499</v>
      </c>
      <c r="D2" s="84" t="s">
        <v>2</v>
      </c>
      <c r="E2" s="84" t="s">
        <v>3</v>
      </c>
      <c r="F2" s="84" t="s">
        <v>302</v>
      </c>
      <c r="G2" s="84" t="s">
        <v>485</v>
      </c>
      <c r="H2" s="84" t="s">
        <v>500</v>
      </c>
      <c r="I2" s="84" t="s">
        <v>501</v>
      </c>
      <c r="J2" s="85" t="s">
        <v>502</v>
      </c>
      <c r="K2" s="85" t="s">
        <v>312</v>
      </c>
      <c r="L2" s="85" t="s">
        <v>503</v>
      </c>
      <c r="M2" s="85" t="s">
        <v>504</v>
      </c>
      <c r="N2" s="85" t="s">
        <v>505</v>
      </c>
      <c r="O2" s="85" t="s">
        <v>506</v>
      </c>
      <c r="P2" s="85" t="s">
        <v>507</v>
      </c>
      <c r="Q2" s="84" t="s">
        <v>508</v>
      </c>
    </row>
    <row r="3" ht="28.5" customHeight="1" spans="1:17">
      <c r="A3" s="86" t="s">
        <v>48</v>
      </c>
      <c r="B3" s="86"/>
      <c r="C3" s="10">
        <v>6</v>
      </c>
      <c r="D3" s="87">
        <v>9845</v>
      </c>
      <c r="E3" s="87" t="s">
        <v>34</v>
      </c>
      <c r="F3" s="87" t="s">
        <v>355</v>
      </c>
      <c r="G3" s="87">
        <v>10</v>
      </c>
      <c r="H3" s="10" t="s">
        <v>509</v>
      </c>
      <c r="I3" s="87" t="s">
        <v>12</v>
      </c>
      <c r="J3" s="87">
        <v>5</v>
      </c>
      <c r="K3" s="87">
        <v>1</v>
      </c>
      <c r="L3" s="87">
        <v>5</v>
      </c>
      <c r="M3" s="87">
        <v>5</v>
      </c>
      <c r="N3" s="87">
        <v>5</v>
      </c>
      <c r="O3" s="87">
        <v>5</v>
      </c>
      <c r="P3" s="87">
        <f t="shared" ref="P3:P37" si="0">SUM((J$1*$J3),(K$1*$K3),(L$1*$L3)*(M$1*$M3),(N$1*$N3),(O$1*$O3))*100</f>
        <v>340</v>
      </c>
      <c r="Q3" s="87" t="s">
        <v>510</v>
      </c>
    </row>
    <row r="4" ht="26" spans="1:17">
      <c r="A4" s="86" t="s">
        <v>54</v>
      </c>
      <c r="B4" s="86"/>
      <c r="C4" s="10" t="s">
        <v>511</v>
      </c>
      <c r="D4" s="87">
        <v>12829</v>
      </c>
      <c r="E4" s="87" t="s">
        <v>11</v>
      </c>
      <c r="F4" s="87" t="s">
        <v>364</v>
      </c>
      <c r="G4" s="87">
        <v>10</v>
      </c>
      <c r="H4" s="10"/>
      <c r="I4" s="87" t="s">
        <v>19</v>
      </c>
      <c r="J4" s="87">
        <v>5</v>
      </c>
      <c r="K4" s="87">
        <v>1</v>
      </c>
      <c r="L4" s="87">
        <v>5</v>
      </c>
      <c r="M4" s="87">
        <v>5</v>
      </c>
      <c r="N4" s="87">
        <v>5</v>
      </c>
      <c r="O4" s="87">
        <v>5</v>
      </c>
      <c r="P4" s="87">
        <f t="shared" si="0"/>
        <v>340</v>
      </c>
      <c r="Q4" s="87" t="s">
        <v>510</v>
      </c>
    </row>
    <row r="5" ht="13" spans="1:17">
      <c r="A5" s="86" t="s">
        <v>190</v>
      </c>
      <c r="B5" s="86"/>
      <c r="C5" s="10">
        <v>1</v>
      </c>
      <c r="D5" s="87">
        <f>9840+D37</f>
        <v>14999</v>
      </c>
      <c r="E5" s="87"/>
      <c r="F5" s="87"/>
      <c r="G5" s="87"/>
      <c r="H5" s="10"/>
      <c r="I5" s="87"/>
      <c r="J5" s="87">
        <v>5</v>
      </c>
      <c r="K5" s="87">
        <v>1</v>
      </c>
      <c r="L5" s="87">
        <v>5</v>
      </c>
      <c r="M5" s="87">
        <v>4</v>
      </c>
      <c r="N5" s="87">
        <v>5</v>
      </c>
      <c r="O5" s="87">
        <v>5</v>
      </c>
      <c r="P5" s="87">
        <f t="shared" si="0"/>
        <v>335</v>
      </c>
      <c r="Q5" s="87"/>
    </row>
    <row r="6" ht="13" spans="1:17">
      <c r="A6" s="86" t="s">
        <v>512</v>
      </c>
      <c r="B6" s="86"/>
      <c r="C6" s="10">
        <v>4</v>
      </c>
      <c r="D6" s="87">
        <f>150*3*6</f>
        <v>2700</v>
      </c>
      <c r="E6" s="87" t="s">
        <v>34</v>
      </c>
      <c r="F6" s="87" t="s">
        <v>513</v>
      </c>
      <c r="G6" s="87">
        <v>10</v>
      </c>
      <c r="H6" s="10"/>
      <c r="I6" s="87"/>
      <c r="J6" s="87">
        <v>5</v>
      </c>
      <c r="K6" s="87">
        <v>1</v>
      </c>
      <c r="L6" s="87">
        <v>5</v>
      </c>
      <c r="M6" s="87">
        <v>2</v>
      </c>
      <c r="N6" s="87">
        <v>5</v>
      </c>
      <c r="O6" s="87">
        <v>5</v>
      </c>
      <c r="P6" s="87">
        <f t="shared" si="0"/>
        <v>325</v>
      </c>
      <c r="Q6" s="87" t="s">
        <v>514</v>
      </c>
    </row>
    <row r="7" ht="17.1" customHeight="1" spans="1:18">
      <c r="A7" s="86" t="s">
        <v>46</v>
      </c>
      <c r="B7" s="86"/>
      <c r="C7" s="10">
        <v>6</v>
      </c>
      <c r="D7" s="87">
        <v>2981</v>
      </c>
      <c r="E7" s="87" t="s">
        <v>34</v>
      </c>
      <c r="F7" s="87" t="s">
        <v>318</v>
      </c>
      <c r="G7" s="87">
        <v>7</v>
      </c>
      <c r="H7" s="10" t="s">
        <v>515</v>
      </c>
      <c r="I7" s="87" t="s">
        <v>12</v>
      </c>
      <c r="J7" s="87">
        <v>5</v>
      </c>
      <c r="K7" s="87">
        <v>1</v>
      </c>
      <c r="L7" s="87">
        <v>5</v>
      </c>
      <c r="M7" s="87">
        <v>2</v>
      </c>
      <c r="N7" s="87">
        <v>5</v>
      </c>
      <c r="O7" s="87">
        <v>5</v>
      </c>
      <c r="P7" s="87">
        <f t="shared" si="0"/>
        <v>325</v>
      </c>
      <c r="Q7" s="87" t="s">
        <v>510</v>
      </c>
      <c r="R7" s="80" t="s">
        <v>516</v>
      </c>
    </row>
    <row r="8" ht="13" spans="1:17">
      <c r="A8" s="86" t="s">
        <v>517</v>
      </c>
      <c r="B8" s="86"/>
      <c r="C8" s="10">
        <v>3</v>
      </c>
      <c r="D8" s="87">
        <f>30*3*6</f>
        <v>540</v>
      </c>
      <c r="E8" s="87" t="s">
        <v>34</v>
      </c>
      <c r="F8" s="87" t="s">
        <v>513</v>
      </c>
      <c r="G8" s="87">
        <v>10</v>
      </c>
      <c r="H8" s="10"/>
      <c r="I8" s="87"/>
      <c r="J8" s="87">
        <v>5</v>
      </c>
      <c r="K8" s="87">
        <v>1</v>
      </c>
      <c r="L8" s="87">
        <v>5</v>
      </c>
      <c r="M8" s="87">
        <v>1</v>
      </c>
      <c r="N8" s="87">
        <v>5</v>
      </c>
      <c r="O8" s="87">
        <v>5</v>
      </c>
      <c r="P8" s="87">
        <f t="shared" si="0"/>
        <v>320</v>
      </c>
      <c r="Q8" s="87"/>
    </row>
    <row r="9" ht="26" hidden="1" spans="1:17">
      <c r="A9" s="94" t="s">
        <v>67</v>
      </c>
      <c r="B9" s="89" t="s">
        <v>518</v>
      </c>
      <c r="C9" s="10"/>
      <c r="D9" s="87">
        <v>111114</v>
      </c>
      <c r="E9" s="87" t="s">
        <v>34</v>
      </c>
      <c r="F9" s="87" t="s">
        <v>318</v>
      </c>
      <c r="G9" s="87">
        <v>10</v>
      </c>
      <c r="H9" s="10" t="s">
        <v>519</v>
      </c>
      <c r="I9" s="87" t="s">
        <v>12</v>
      </c>
      <c r="J9" s="87">
        <v>2</v>
      </c>
      <c r="K9" s="87">
        <v>4</v>
      </c>
      <c r="L9" s="87">
        <v>3</v>
      </c>
      <c r="M9" s="87">
        <v>5</v>
      </c>
      <c r="N9" s="87">
        <v>3</v>
      </c>
      <c r="O9" s="87">
        <v>5</v>
      </c>
      <c r="P9" s="87">
        <f t="shared" si="0"/>
        <v>305</v>
      </c>
      <c r="Q9" s="87"/>
    </row>
    <row r="10" ht="13" hidden="1" spans="1:17">
      <c r="A10" s="94" t="s">
        <v>74</v>
      </c>
      <c r="B10" s="86" t="s">
        <v>518</v>
      </c>
      <c r="C10" s="10"/>
      <c r="D10" s="87">
        <v>1931</v>
      </c>
      <c r="E10" s="87" t="s">
        <v>11</v>
      </c>
      <c r="F10" s="87" t="s">
        <v>364</v>
      </c>
      <c r="G10" s="87">
        <v>10</v>
      </c>
      <c r="H10" s="10" t="s">
        <v>520</v>
      </c>
      <c r="I10" s="87" t="s">
        <v>12</v>
      </c>
      <c r="J10" s="87">
        <v>3</v>
      </c>
      <c r="K10" s="87">
        <v>5</v>
      </c>
      <c r="L10" s="87">
        <v>1</v>
      </c>
      <c r="M10" s="87">
        <v>2</v>
      </c>
      <c r="N10" s="87">
        <v>1</v>
      </c>
      <c r="O10" s="87">
        <v>4</v>
      </c>
      <c r="P10" s="87">
        <f t="shared" si="0"/>
        <v>282</v>
      </c>
      <c r="Q10" s="87" t="s">
        <v>510</v>
      </c>
    </row>
    <row r="11" ht="13" hidden="1" spans="1:17">
      <c r="A11" s="94" t="s">
        <v>85</v>
      </c>
      <c r="B11" s="86" t="s">
        <v>521</v>
      </c>
      <c r="C11" s="10" t="s">
        <v>522</v>
      </c>
      <c r="D11" s="87">
        <v>2676</v>
      </c>
      <c r="E11" s="87" t="s">
        <v>11</v>
      </c>
      <c r="F11" s="87" t="s">
        <v>355</v>
      </c>
      <c r="G11" s="87">
        <v>10</v>
      </c>
      <c r="H11" s="10" t="s">
        <v>523</v>
      </c>
      <c r="I11" s="87" t="s">
        <v>12</v>
      </c>
      <c r="J11" s="87">
        <v>3</v>
      </c>
      <c r="K11" s="87">
        <v>4</v>
      </c>
      <c r="L11" s="87">
        <v>2</v>
      </c>
      <c r="M11" s="87">
        <v>3</v>
      </c>
      <c r="N11" s="87">
        <v>2</v>
      </c>
      <c r="O11" s="87">
        <v>4</v>
      </c>
      <c r="P11" s="87">
        <f t="shared" si="0"/>
        <v>276</v>
      </c>
      <c r="Q11" s="87" t="s">
        <v>510</v>
      </c>
    </row>
    <row r="12" ht="44.1" customHeight="1" spans="1:17">
      <c r="A12" s="86" t="s">
        <v>41</v>
      </c>
      <c r="B12" s="86"/>
      <c r="C12" s="10">
        <v>2</v>
      </c>
      <c r="D12" s="87">
        <v>8925</v>
      </c>
      <c r="E12" s="87" t="s">
        <v>34</v>
      </c>
      <c r="F12" s="87" t="s">
        <v>318</v>
      </c>
      <c r="G12" s="87">
        <v>25</v>
      </c>
      <c r="H12" s="10"/>
      <c r="I12" s="87" t="s">
        <v>19</v>
      </c>
      <c r="J12" s="87">
        <v>2</v>
      </c>
      <c r="K12" s="87">
        <v>4</v>
      </c>
      <c r="L12" s="87">
        <v>5</v>
      </c>
      <c r="M12" s="87">
        <v>4</v>
      </c>
      <c r="N12" s="87">
        <v>1</v>
      </c>
      <c r="O12" s="87">
        <v>4</v>
      </c>
      <c r="P12" s="87">
        <f t="shared" si="0"/>
        <v>265</v>
      </c>
      <c r="Q12" s="87" t="s">
        <v>510</v>
      </c>
    </row>
    <row r="13" ht="26" spans="1:17">
      <c r="A13" s="86" t="s">
        <v>45</v>
      </c>
      <c r="B13" s="86"/>
      <c r="C13" s="10">
        <v>2</v>
      </c>
      <c r="D13" s="87">
        <v>5854</v>
      </c>
      <c r="E13" s="87" t="s">
        <v>34</v>
      </c>
      <c r="F13" s="87" t="s">
        <v>318</v>
      </c>
      <c r="G13" s="87">
        <v>25</v>
      </c>
      <c r="H13" s="10"/>
      <c r="I13" s="87" t="s">
        <v>19</v>
      </c>
      <c r="J13" s="87">
        <v>2</v>
      </c>
      <c r="K13" s="87">
        <v>4</v>
      </c>
      <c r="L13" s="87">
        <v>5</v>
      </c>
      <c r="M13" s="87">
        <v>3</v>
      </c>
      <c r="N13" s="87">
        <v>1</v>
      </c>
      <c r="O13" s="87">
        <v>4</v>
      </c>
      <c r="P13" s="87">
        <f t="shared" si="0"/>
        <v>260</v>
      </c>
      <c r="Q13" s="87" t="s">
        <v>514</v>
      </c>
    </row>
    <row r="14" ht="13" spans="1:17">
      <c r="A14" s="86" t="s">
        <v>524</v>
      </c>
      <c r="B14" s="86"/>
      <c r="C14" s="10">
        <v>9</v>
      </c>
      <c r="D14" s="87">
        <v>45835</v>
      </c>
      <c r="E14" s="87" t="s">
        <v>11</v>
      </c>
      <c r="F14" s="87" t="s">
        <v>318</v>
      </c>
      <c r="G14" s="87">
        <v>10</v>
      </c>
      <c r="H14" s="10"/>
      <c r="I14" s="87" t="s">
        <v>19</v>
      </c>
      <c r="J14" s="87">
        <v>4</v>
      </c>
      <c r="K14" s="87">
        <v>1</v>
      </c>
      <c r="L14" s="87">
        <v>5</v>
      </c>
      <c r="M14" s="87">
        <v>5</v>
      </c>
      <c r="N14" s="87">
        <v>1</v>
      </c>
      <c r="O14" s="87">
        <v>3</v>
      </c>
      <c r="P14" s="87">
        <f t="shared" si="0"/>
        <v>230</v>
      </c>
      <c r="Q14" s="87" t="s">
        <v>525</v>
      </c>
    </row>
    <row r="15" ht="31.5" customHeight="1" spans="1:17">
      <c r="A15" s="86" t="s">
        <v>25</v>
      </c>
      <c r="B15" s="86" t="s">
        <v>526</v>
      </c>
      <c r="C15" s="10" t="s">
        <v>522</v>
      </c>
      <c r="D15" s="87">
        <v>6804</v>
      </c>
      <c r="E15" s="87" t="s">
        <v>11</v>
      </c>
      <c r="F15" s="87" t="s">
        <v>318</v>
      </c>
      <c r="G15" s="87">
        <v>10</v>
      </c>
      <c r="H15" s="10"/>
      <c r="I15" s="87" t="s">
        <v>19</v>
      </c>
      <c r="J15" s="87">
        <v>3</v>
      </c>
      <c r="K15" s="87">
        <v>3</v>
      </c>
      <c r="L15" s="87">
        <v>5</v>
      </c>
      <c r="M15" s="87">
        <v>3</v>
      </c>
      <c r="N15" s="87">
        <v>1</v>
      </c>
      <c r="O15" s="87">
        <v>3</v>
      </c>
      <c r="P15" s="87">
        <f t="shared" si="0"/>
        <v>230</v>
      </c>
      <c r="Q15" s="87" t="s">
        <v>525</v>
      </c>
    </row>
    <row r="16" ht="13" hidden="1" spans="1:17">
      <c r="A16" s="94" t="s">
        <v>79</v>
      </c>
      <c r="B16" s="86" t="s">
        <v>518</v>
      </c>
      <c r="C16" s="10"/>
      <c r="D16" s="87">
        <v>4037</v>
      </c>
      <c r="E16" s="87" t="s">
        <v>11</v>
      </c>
      <c r="F16" s="87" t="s">
        <v>318</v>
      </c>
      <c r="G16" s="87">
        <v>10</v>
      </c>
      <c r="H16" s="10" t="s">
        <v>527</v>
      </c>
      <c r="I16" s="87" t="s">
        <v>12</v>
      </c>
      <c r="J16" s="87">
        <v>1</v>
      </c>
      <c r="K16" s="87">
        <v>3</v>
      </c>
      <c r="L16" s="87">
        <v>5</v>
      </c>
      <c r="M16" s="87">
        <v>3</v>
      </c>
      <c r="N16" s="87">
        <v>1</v>
      </c>
      <c r="O16" s="87">
        <v>4</v>
      </c>
      <c r="P16" s="87">
        <f t="shared" si="0"/>
        <v>225</v>
      </c>
      <c r="Q16" s="87"/>
    </row>
    <row r="17" ht="13" hidden="1" spans="1:17">
      <c r="A17" s="94" t="s">
        <v>82</v>
      </c>
      <c r="B17" s="86" t="s">
        <v>528</v>
      </c>
      <c r="C17" s="10"/>
      <c r="D17" s="87">
        <v>4381</v>
      </c>
      <c r="E17" s="87" t="s">
        <v>11</v>
      </c>
      <c r="F17" s="87" t="s">
        <v>343</v>
      </c>
      <c r="G17" s="87">
        <v>10</v>
      </c>
      <c r="H17" s="10" t="s">
        <v>527</v>
      </c>
      <c r="I17" s="87" t="s">
        <v>12</v>
      </c>
      <c r="J17" s="87">
        <v>1</v>
      </c>
      <c r="K17" s="87">
        <v>3</v>
      </c>
      <c r="L17" s="87">
        <v>5</v>
      </c>
      <c r="M17" s="87">
        <v>3</v>
      </c>
      <c r="N17" s="87">
        <v>1</v>
      </c>
      <c r="O17" s="87">
        <v>4</v>
      </c>
      <c r="P17" s="87">
        <f t="shared" si="0"/>
        <v>225</v>
      </c>
      <c r="Q17" s="87" t="s">
        <v>529</v>
      </c>
    </row>
    <row r="18" ht="13" hidden="1" spans="1:17">
      <c r="A18" s="94" t="s">
        <v>83</v>
      </c>
      <c r="B18" s="86" t="s">
        <v>528</v>
      </c>
      <c r="C18" s="10"/>
      <c r="D18" s="87">
        <v>7125</v>
      </c>
      <c r="E18" s="87" t="s">
        <v>34</v>
      </c>
      <c r="F18" s="87" t="s">
        <v>364</v>
      </c>
      <c r="G18" s="87">
        <v>10</v>
      </c>
      <c r="H18" s="10" t="s">
        <v>530</v>
      </c>
      <c r="I18" s="87" t="s">
        <v>12</v>
      </c>
      <c r="J18" s="87">
        <v>1</v>
      </c>
      <c r="K18" s="87">
        <v>5</v>
      </c>
      <c r="L18" s="87">
        <v>1</v>
      </c>
      <c r="M18" s="87">
        <v>4</v>
      </c>
      <c r="N18" s="87">
        <v>3</v>
      </c>
      <c r="O18" s="87">
        <v>3</v>
      </c>
      <c r="P18" s="87">
        <f t="shared" si="0"/>
        <v>219</v>
      </c>
      <c r="Q18" s="87" t="s">
        <v>510</v>
      </c>
    </row>
    <row r="19" ht="14.5" spans="1:17">
      <c r="A19" s="90" t="s">
        <v>177</v>
      </c>
      <c r="B19" s="90" t="s">
        <v>531</v>
      </c>
      <c r="C19" s="10">
        <v>8</v>
      </c>
      <c r="D19" s="90">
        <v>3558</v>
      </c>
      <c r="E19" s="87"/>
      <c r="F19" s="87"/>
      <c r="G19" s="87"/>
      <c r="H19" s="10"/>
      <c r="I19" s="87"/>
      <c r="J19" s="87">
        <v>2</v>
      </c>
      <c r="K19" s="87">
        <v>5</v>
      </c>
      <c r="L19" s="87">
        <v>5</v>
      </c>
      <c r="M19" s="87">
        <v>3</v>
      </c>
      <c r="N19" s="87">
        <v>1</v>
      </c>
      <c r="O19" s="87">
        <v>2</v>
      </c>
      <c r="P19" s="87">
        <f t="shared" si="0"/>
        <v>205</v>
      </c>
      <c r="Q19" s="87" t="s">
        <v>514</v>
      </c>
    </row>
    <row r="20" ht="26" hidden="1" spans="1:17">
      <c r="A20" s="94" t="s">
        <v>72</v>
      </c>
      <c r="B20" s="86" t="s">
        <v>532</v>
      </c>
      <c r="C20" s="10"/>
      <c r="D20" s="87">
        <v>2013</v>
      </c>
      <c r="E20" s="87" t="s">
        <v>11</v>
      </c>
      <c r="F20" s="87" t="s">
        <v>491</v>
      </c>
      <c r="G20" s="87">
        <v>10</v>
      </c>
      <c r="H20" s="10" t="s">
        <v>533</v>
      </c>
      <c r="I20" s="87" t="s">
        <v>12</v>
      </c>
      <c r="J20" s="87">
        <v>4</v>
      </c>
      <c r="K20" s="87">
        <v>5</v>
      </c>
      <c r="L20" s="87">
        <v>5</v>
      </c>
      <c r="M20" s="87">
        <v>2</v>
      </c>
      <c r="N20" s="87">
        <v>5</v>
      </c>
      <c r="O20" s="87"/>
      <c r="P20" s="87">
        <f t="shared" si="0"/>
        <v>190</v>
      </c>
      <c r="Q20" s="87" t="s">
        <v>514</v>
      </c>
    </row>
    <row r="21" ht="13" spans="1:17">
      <c r="A21" s="86" t="s">
        <v>18</v>
      </c>
      <c r="B21" s="86"/>
      <c r="C21" s="10">
        <v>0</v>
      </c>
      <c r="D21" s="87">
        <v>7168</v>
      </c>
      <c r="E21" s="87" t="s">
        <v>11</v>
      </c>
      <c r="F21" s="87" t="s">
        <v>318</v>
      </c>
      <c r="G21" s="87">
        <v>10</v>
      </c>
      <c r="H21" s="10" t="s">
        <v>527</v>
      </c>
      <c r="I21" s="87" t="s">
        <v>12</v>
      </c>
      <c r="J21" s="87">
        <v>2</v>
      </c>
      <c r="K21" s="87">
        <v>4</v>
      </c>
      <c r="L21" s="87">
        <v>4</v>
      </c>
      <c r="M21" s="87">
        <v>3</v>
      </c>
      <c r="N21" s="87">
        <v>1</v>
      </c>
      <c r="O21" s="87">
        <v>1</v>
      </c>
      <c r="P21" s="87">
        <f t="shared" si="0"/>
        <v>152</v>
      </c>
      <c r="Q21" s="87" t="s">
        <v>514</v>
      </c>
    </row>
    <row r="22" ht="13" spans="1:17">
      <c r="A22" s="86" t="s">
        <v>76</v>
      </c>
      <c r="B22" s="86"/>
      <c r="C22" s="10">
        <v>7</v>
      </c>
      <c r="D22" s="87">
        <v>10287</v>
      </c>
      <c r="E22" s="87" t="s">
        <v>11</v>
      </c>
      <c r="F22" s="87" t="s">
        <v>364</v>
      </c>
      <c r="G22" s="87">
        <v>10</v>
      </c>
      <c r="H22" s="10" t="s">
        <v>534</v>
      </c>
      <c r="I22" s="87" t="s">
        <v>12</v>
      </c>
      <c r="J22" s="87">
        <v>1</v>
      </c>
      <c r="K22" s="87">
        <v>5</v>
      </c>
      <c r="L22" s="87">
        <v>5</v>
      </c>
      <c r="M22" s="87">
        <v>1</v>
      </c>
      <c r="N22" s="87">
        <v>1</v>
      </c>
      <c r="O22" s="87">
        <v>1</v>
      </c>
      <c r="P22" s="87">
        <f t="shared" si="0"/>
        <v>140</v>
      </c>
      <c r="Q22" s="87" t="s">
        <v>510</v>
      </c>
    </row>
    <row r="23" ht="26" hidden="1" spans="1:17">
      <c r="A23" s="94" t="s">
        <v>68</v>
      </c>
      <c r="B23" s="86" t="s">
        <v>535</v>
      </c>
      <c r="C23" s="10"/>
      <c r="D23" s="87">
        <v>1639</v>
      </c>
      <c r="E23" s="87" t="s">
        <v>11</v>
      </c>
      <c r="F23" s="87" t="s">
        <v>491</v>
      </c>
      <c r="G23" s="87">
        <v>10</v>
      </c>
      <c r="H23" s="10" t="s">
        <v>536</v>
      </c>
      <c r="I23" s="87" t="s">
        <v>12</v>
      </c>
      <c r="J23" s="87">
        <v>3</v>
      </c>
      <c r="K23" s="87">
        <v>3</v>
      </c>
      <c r="L23" s="87">
        <v>5</v>
      </c>
      <c r="M23" s="87">
        <v>2</v>
      </c>
      <c r="N23" s="87">
        <v>5</v>
      </c>
      <c r="O23" s="87"/>
      <c r="P23" s="87">
        <f t="shared" si="0"/>
        <v>140</v>
      </c>
      <c r="Q23" s="87" t="s">
        <v>510</v>
      </c>
    </row>
    <row r="24" ht="13" hidden="1" spans="1:17">
      <c r="A24" s="94" t="s">
        <v>50</v>
      </c>
      <c r="B24" s="89" t="s">
        <v>518</v>
      </c>
      <c r="C24" s="10"/>
      <c r="D24" s="87">
        <v>4243</v>
      </c>
      <c r="E24" s="87" t="s">
        <v>11</v>
      </c>
      <c r="F24" s="87" t="s">
        <v>364</v>
      </c>
      <c r="G24" s="87">
        <v>12</v>
      </c>
      <c r="H24" s="10" t="s">
        <v>537</v>
      </c>
      <c r="I24" s="87" t="s">
        <v>12</v>
      </c>
      <c r="J24" s="87">
        <v>1</v>
      </c>
      <c r="K24" s="87">
        <v>5</v>
      </c>
      <c r="L24" s="87">
        <v>5</v>
      </c>
      <c r="M24" s="87">
        <v>4</v>
      </c>
      <c r="N24" s="87">
        <v>5</v>
      </c>
      <c r="O24" s="87"/>
      <c r="P24" s="87">
        <f t="shared" si="0"/>
        <v>140</v>
      </c>
      <c r="Q24" s="87" t="s">
        <v>510</v>
      </c>
    </row>
    <row r="25" ht="13" spans="1:17">
      <c r="A25" s="86" t="s">
        <v>43</v>
      </c>
      <c r="B25" s="86"/>
      <c r="C25" s="10">
        <v>5</v>
      </c>
      <c r="D25" s="87">
        <v>3695</v>
      </c>
      <c r="E25" s="87" t="s">
        <v>34</v>
      </c>
      <c r="F25" s="87" t="s">
        <v>355</v>
      </c>
      <c r="G25" s="87">
        <v>8</v>
      </c>
      <c r="H25" s="10" t="s">
        <v>538</v>
      </c>
      <c r="I25" s="87" t="s">
        <v>12</v>
      </c>
      <c r="J25" s="87">
        <v>1</v>
      </c>
      <c r="K25" s="87">
        <v>4</v>
      </c>
      <c r="L25" s="87">
        <v>5</v>
      </c>
      <c r="M25" s="87">
        <v>2</v>
      </c>
      <c r="N25" s="87">
        <v>1</v>
      </c>
      <c r="O25" s="87">
        <v>1</v>
      </c>
      <c r="P25" s="87">
        <f t="shared" si="0"/>
        <v>130</v>
      </c>
      <c r="Q25" s="87" t="s">
        <v>525</v>
      </c>
    </row>
    <row r="26" ht="78" hidden="1" spans="1:17">
      <c r="A26" s="94" t="s">
        <v>70</v>
      </c>
      <c r="B26" s="86" t="s">
        <v>539</v>
      </c>
      <c r="C26" s="10" t="s">
        <v>540</v>
      </c>
      <c r="D26" s="87">
        <v>2025</v>
      </c>
      <c r="E26" s="87" t="s">
        <v>11</v>
      </c>
      <c r="F26" s="87" t="s">
        <v>364</v>
      </c>
      <c r="G26" s="87">
        <v>10</v>
      </c>
      <c r="H26" s="10" t="s">
        <v>541</v>
      </c>
      <c r="I26" s="87" t="s">
        <v>12</v>
      </c>
      <c r="J26" s="87">
        <v>1</v>
      </c>
      <c r="K26" s="87">
        <v>5</v>
      </c>
      <c r="L26" s="87">
        <v>5</v>
      </c>
      <c r="M26" s="87">
        <v>2</v>
      </c>
      <c r="N26" s="87">
        <v>5</v>
      </c>
      <c r="O26" s="87"/>
      <c r="P26" s="87">
        <f t="shared" si="0"/>
        <v>130</v>
      </c>
      <c r="Q26" s="87" t="s">
        <v>525</v>
      </c>
    </row>
    <row r="27" ht="13.5" hidden="1" customHeight="1" spans="1:17">
      <c r="A27" s="94" t="s">
        <v>84</v>
      </c>
      <c r="B27" s="86" t="s">
        <v>539</v>
      </c>
      <c r="C27" s="10" t="s">
        <v>540</v>
      </c>
      <c r="D27" s="87">
        <v>2192</v>
      </c>
      <c r="E27" s="87" t="s">
        <v>11</v>
      </c>
      <c r="F27" s="87" t="s">
        <v>318</v>
      </c>
      <c r="G27" s="87">
        <v>10</v>
      </c>
      <c r="H27" s="10" t="s">
        <v>542</v>
      </c>
      <c r="I27" s="87" t="s">
        <v>12</v>
      </c>
      <c r="J27" s="87">
        <v>2</v>
      </c>
      <c r="K27" s="87">
        <v>3</v>
      </c>
      <c r="L27" s="87">
        <v>1</v>
      </c>
      <c r="M27" s="87">
        <v>2</v>
      </c>
      <c r="N27" s="87">
        <v>1</v>
      </c>
      <c r="O27" s="87">
        <v>1</v>
      </c>
      <c r="P27" s="87">
        <f t="shared" si="0"/>
        <v>127</v>
      </c>
      <c r="Q27" s="87" t="s">
        <v>525</v>
      </c>
    </row>
    <row r="28" ht="52" hidden="1" spans="1:17">
      <c r="A28" s="94" t="s">
        <v>39</v>
      </c>
      <c r="B28" s="89" t="s">
        <v>543</v>
      </c>
      <c r="C28" s="10"/>
      <c r="D28" s="87">
        <v>5337</v>
      </c>
      <c r="E28" s="87" t="s">
        <v>11</v>
      </c>
      <c r="F28" s="87" t="s">
        <v>318</v>
      </c>
      <c r="G28" s="87">
        <v>5</v>
      </c>
      <c r="H28" s="10" t="s">
        <v>544</v>
      </c>
      <c r="I28" s="87" t="s">
        <v>12</v>
      </c>
      <c r="J28" s="87">
        <v>2</v>
      </c>
      <c r="K28" s="87">
        <v>2</v>
      </c>
      <c r="L28" s="87">
        <v>1</v>
      </c>
      <c r="M28" s="87">
        <v>1</v>
      </c>
      <c r="N28" s="87">
        <v>1</v>
      </c>
      <c r="O28" s="87">
        <v>1</v>
      </c>
      <c r="P28" s="87">
        <f t="shared" si="0"/>
        <v>111</v>
      </c>
      <c r="Q28" s="87" t="s">
        <v>525</v>
      </c>
    </row>
    <row r="29" ht="13" hidden="1" spans="1:17">
      <c r="A29" s="94" t="s">
        <v>545</v>
      </c>
      <c r="B29" s="86" t="s">
        <v>546</v>
      </c>
      <c r="C29" s="10">
        <v>0</v>
      </c>
      <c r="D29" s="87">
        <v>9247</v>
      </c>
      <c r="E29" s="87" t="s">
        <v>11</v>
      </c>
      <c r="F29" s="87" t="s">
        <v>318</v>
      </c>
      <c r="G29" s="87">
        <v>10</v>
      </c>
      <c r="H29" s="10"/>
      <c r="I29" s="87" t="s">
        <v>19</v>
      </c>
      <c r="J29" s="87"/>
      <c r="K29" s="87"/>
      <c r="L29" s="87"/>
      <c r="M29" s="87"/>
      <c r="N29" s="87"/>
      <c r="O29" s="87"/>
      <c r="P29" s="87">
        <f t="shared" si="0"/>
        <v>0</v>
      </c>
      <c r="Q29" s="87" t="s">
        <v>529</v>
      </c>
    </row>
    <row r="30" ht="13" hidden="1" spans="1:17">
      <c r="A30" s="94" t="s">
        <v>77</v>
      </c>
      <c r="B30" s="86" t="s">
        <v>539</v>
      </c>
      <c r="C30" s="10" t="s">
        <v>540</v>
      </c>
      <c r="D30" s="87">
        <v>1926</v>
      </c>
      <c r="E30" s="87" t="s">
        <v>11</v>
      </c>
      <c r="F30" s="87" t="s">
        <v>318</v>
      </c>
      <c r="G30" s="87">
        <v>10</v>
      </c>
      <c r="H30" s="10"/>
      <c r="I30" s="87" t="s">
        <v>19</v>
      </c>
      <c r="J30" s="87"/>
      <c r="K30" s="87"/>
      <c r="L30" s="87"/>
      <c r="M30" s="87"/>
      <c r="N30" s="87"/>
      <c r="O30" s="87"/>
      <c r="P30" s="87">
        <f t="shared" si="0"/>
        <v>0</v>
      </c>
      <c r="Q30" s="87" t="s">
        <v>529</v>
      </c>
    </row>
    <row r="31" ht="13" hidden="1" spans="1:17">
      <c r="A31" s="94" t="s">
        <v>57</v>
      </c>
      <c r="B31" s="89" t="s">
        <v>547</v>
      </c>
      <c r="C31" s="91"/>
      <c r="D31" s="87">
        <v>5000</v>
      </c>
      <c r="E31" s="87" t="s">
        <v>11</v>
      </c>
      <c r="F31" s="87" t="s">
        <v>491</v>
      </c>
      <c r="G31" s="87">
        <v>10</v>
      </c>
      <c r="H31" s="10"/>
      <c r="I31" s="87" t="s">
        <v>19</v>
      </c>
      <c r="J31" s="87"/>
      <c r="K31" s="87"/>
      <c r="L31" s="87"/>
      <c r="M31" s="87"/>
      <c r="N31" s="87"/>
      <c r="O31" s="87"/>
      <c r="P31" s="87">
        <f t="shared" si="0"/>
        <v>0</v>
      </c>
      <c r="Q31" s="87" t="s">
        <v>529</v>
      </c>
    </row>
    <row r="32" ht="26" hidden="1" spans="1:17">
      <c r="A32" s="94" t="s">
        <v>37</v>
      </c>
      <c r="B32" s="86" t="s">
        <v>548</v>
      </c>
      <c r="C32" s="10"/>
      <c r="D32" s="87">
        <v>14504</v>
      </c>
      <c r="E32" s="87" t="s">
        <v>11</v>
      </c>
      <c r="F32" s="87" t="s">
        <v>318</v>
      </c>
      <c r="G32" s="87">
        <v>10</v>
      </c>
      <c r="H32" s="10"/>
      <c r="I32" s="87" t="s">
        <v>19</v>
      </c>
      <c r="J32" s="87"/>
      <c r="K32" s="87"/>
      <c r="L32" s="87"/>
      <c r="M32" s="87"/>
      <c r="N32" s="87"/>
      <c r="O32" s="87"/>
      <c r="P32" s="87">
        <f t="shared" si="0"/>
        <v>0</v>
      </c>
      <c r="Q32" s="87" t="s">
        <v>529</v>
      </c>
    </row>
    <row r="33" ht="26" hidden="1" spans="1:17">
      <c r="A33" s="94" t="s">
        <v>33</v>
      </c>
      <c r="B33" s="89" t="s">
        <v>549</v>
      </c>
      <c r="C33" s="10"/>
      <c r="D33" s="87">
        <v>10119</v>
      </c>
      <c r="E33" s="87" t="s">
        <v>34</v>
      </c>
      <c r="F33" s="87" t="s">
        <v>318</v>
      </c>
      <c r="G33" s="87">
        <v>5</v>
      </c>
      <c r="H33" s="10"/>
      <c r="I33" s="87" t="s">
        <v>19</v>
      </c>
      <c r="J33" s="87"/>
      <c r="K33" s="87"/>
      <c r="L33" s="87"/>
      <c r="M33" s="87"/>
      <c r="N33" s="87"/>
      <c r="O33" s="87"/>
      <c r="P33" s="87">
        <f t="shared" si="0"/>
        <v>0</v>
      </c>
      <c r="Q33" s="87" t="s">
        <v>529</v>
      </c>
    </row>
    <row r="34" hidden="1" customHeight="1" spans="1:17">
      <c r="A34" s="94" t="s">
        <v>38</v>
      </c>
      <c r="B34" s="89" t="s">
        <v>518</v>
      </c>
      <c r="C34" s="10"/>
      <c r="D34" s="87">
        <v>7232</v>
      </c>
      <c r="E34" s="87" t="s">
        <v>34</v>
      </c>
      <c r="F34" s="87" t="s">
        <v>318</v>
      </c>
      <c r="G34" s="87">
        <v>15</v>
      </c>
      <c r="H34" s="10"/>
      <c r="I34" s="87" t="s">
        <v>19</v>
      </c>
      <c r="J34" s="87"/>
      <c r="K34" s="87"/>
      <c r="L34" s="87"/>
      <c r="M34" s="87">
        <v>5</v>
      </c>
      <c r="N34" s="87"/>
      <c r="O34" s="87"/>
      <c r="P34" s="87">
        <f t="shared" si="0"/>
        <v>0</v>
      </c>
      <c r="Q34" s="87" t="s">
        <v>529</v>
      </c>
    </row>
    <row r="35" hidden="1" customHeight="1" spans="1:17">
      <c r="A35" s="94" t="s">
        <v>52</v>
      </c>
      <c r="B35" s="89" t="s">
        <v>518</v>
      </c>
      <c r="C35" s="10"/>
      <c r="D35" s="87">
        <v>5228</v>
      </c>
      <c r="E35" s="87" t="s">
        <v>11</v>
      </c>
      <c r="F35" s="87" t="s">
        <v>318</v>
      </c>
      <c r="G35" s="87">
        <v>30</v>
      </c>
      <c r="H35" s="10"/>
      <c r="I35" s="87" t="s">
        <v>19</v>
      </c>
      <c r="J35" s="87"/>
      <c r="K35" s="87"/>
      <c r="L35" s="87"/>
      <c r="M35" s="87">
        <v>5</v>
      </c>
      <c r="N35" s="87"/>
      <c r="O35" s="87"/>
      <c r="P35" s="87">
        <f t="shared" si="0"/>
        <v>0</v>
      </c>
      <c r="Q35" s="87" t="s">
        <v>529</v>
      </c>
    </row>
    <row r="36" hidden="1" customHeight="1" spans="1:17">
      <c r="A36" s="94" t="s">
        <v>27</v>
      </c>
      <c r="B36" s="86" t="s">
        <v>528</v>
      </c>
      <c r="C36" s="10"/>
      <c r="D36" s="87">
        <v>5170</v>
      </c>
      <c r="E36" s="87" t="s">
        <v>11</v>
      </c>
      <c r="F36" s="87" t="s">
        <v>318</v>
      </c>
      <c r="G36" s="87">
        <v>10</v>
      </c>
      <c r="H36" s="10"/>
      <c r="I36" s="87" t="s">
        <v>19</v>
      </c>
      <c r="J36" s="87"/>
      <c r="K36" s="87"/>
      <c r="L36" s="87"/>
      <c r="M36" s="87"/>
      <c r="N36" s="87"/>
      <c r="O36" s="87"/>
      <c r="P36" s="87">
        <f t="shared" si="0"/>
        <v>0</v>
      </c>
      <c r="Q36" s="87" t="s">
        <v>529</v>
      </c>
    </row>
    <row r="37" hidden="1" customHeight="1" spans="1:17">
      <c r="A37" s="94" t="s">
        <v>30</v>
      </c>
      <c r="B37" s="86" t="s">
        <v>528</v>
      </c>
      <c r="C37" s="10"/>
      <c r="D37" s="87">
        <v>5159</v>
      </c>
      <c r="E37" s="87" t="s">
        <v>11</v>
      </c>
      <c r="F37" s="87" t="s">
        <v>343</v>
      </c>
      <c r="G37" s="87">
        <v>20</v>
      </c>
      <c r="H37" s="10"/>
      <c r="I37" s="87" t="s">
        <v>19</v>
      </c>
      <c r="J37" s="87"/>
      <c r="K37" s="87"/>
      <c r="L37" s="87"/>
      <c r="M37" s="87"/>
      <c r="N37" s="87"/>
      <c r="O37" s="87"/>
      <c r="P37" s="87">
        <f t="shared" si="0"/>
        <v>0</v>
      </c>
      <c r="Q37" s="87" t="s">
        <v>514</v>
      </c>
    </row>
    <row r="38" hidden="1" customHeight="1" spans="1:17">
      <c r="A38" s="95" t="s">
        <v>173</v>
      </c>
      <c r="B38" s="90" t="s">
        <v>550</v>
      </c>
      <c r="C38" s="10"/>
      <c r="D38" s="90">
        <v>6131</v>
      </c>
      <c r="E38" s="87"/>
      <c r="F38" s="87"/>
      <c r="G38" s="87"/>
      <c r="H38" s="10"/>
      <c r="I38" s="87"/>
      <c r="J38" s="87"/>
      <c r="K38" s="87"/>
      <c r="L38" s="87"/>
      <c r="M38" s="87"/>
      <c r="N38" s="87"/>
      <c r="O38" s="87"/>
      <c r="P38" s="87"/>
      <c r="Q38" s="87"/>
    </row>
    <row r="39" hidden="1" customHeight="1" spans="1:17">
      <c r="A39" s="95" t="s">
        <v>141</v>
      </c>
      <c r="B39" s="90" t="s">
        <v>528</v>
      </c>
      <c r="C39" s="10"/>
      <c r="D39" s="90">
        <v>8512</v>
      </c>
      <c r="E39" s="87"/>
      <c r="F39" s="87"/>
      <c r="G39" s="87"/>
      <c r="H39" s="10"/>
      <c r="I39" s="87"/>
      <c r="J39" s="87"/>
      <c r="K39" s="87"/>
      <c r="L39" s="87"/>
      <c r="M39" s="87"/>
      <c r="N39" s="87"/>
      <c r="O39" s="87"/>
      <c r="P39" s="87"/>
      <c r="Q39" s="87"/>
    </row>
    <row r="40" customHeight="1" spans="1:3">
      <c r="A40"/>
      <c r="B40"/>
      <c r="C40"/>
    </row>
    <row r="41" customHeight="1" spans="1:3">
      <c r="A41" s="93"/>
      <c r="B41" s="93"/>
      <c r="C41"/>
    </row>
  </sheetData>
  <autoFilter xmlns:etc="http://www.wps.cn/officeDocument/2017/etCustomData" ref="A2:R39" etc:filterBottomFollowUsedRange="0">
    <filterColumn colId="0">
      <colorFilter dxfId="52"/>
    </filterColumn>
    <extLst/>
  </autoFilter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3" activePane="bottomRight" state="frozen"/>
      <selection/>
      <selection pane="topRight"/>
      <selection pane="bottomLeft"/>
      <selection pane="bottomRight" activeCell="C3" sqref="C3"/>
    </sheetView>
  </sheetViews>
  <sheetFormatPr defaultColWidth="62.2818181818182" defaultRowHeight="12.75" customHeight="1"/>
  <cols>
    <col min="1" max="1" width="51" style="81" customWidth="1"/>
    <col min="2" max="2" width="18.8545454545455" style="81" customWidth="1"/>
    <col min="3" max="3" width="30.8545454545455" style="80" customWidth="1"/>
    <col min="4" max="4" width="14.4272727272727" style="82" customWidth="1"/>
    <col min="5" max="5" width="12.1363636363636" style="82" customWidth="1"/>
    <col min="6" max="6" width="16.2818181818182" style="82" customWidth="1"/>
    <col min="7" max="7" width="16" style="82" customWidth="1"/>
    <col min="8" max="8" width="24.7090909090909" style="80" customWidth="1"/>
    <col min="9" max="9" width="12.8545454545455" style="82" customWidth="1"/>
    <col min="10" max="16" width="11.8545454545455" style="82" customWidth="1"/>
    <col min="17" max="17" width="62.2818181818182" style="82" hidden="1" customWidth="1"/>
    <col min="18" max="16384" width="62.2818181818182" style="82"/>
  </cols>
  <sheetData>
    <row r="1" customHeight="1" spans="10:16">
      <c r="J1" s="83">
        <v>0.2</v>
      </c>
      <c r="K1" s="83">
        <v>0.15</v>
      </c>
      <c r="L1" s="83">
        <v>0.05</v>
      </c>
      <c r="M1" s="83">
        <v>0.2</v>
      </c>
      <c r="N1" s="83">
        <v>0.05</v>
      </c>
      <c r="O1" s="83">
        <v>0.35</v>
      </c>
      <c r="P1" s="88">
        <f>SUM(J1:O1)</f>
        <v>1</v>
      </c>
    </row>
    <row r="2" s="80" customFormat="1" ht="39" spans="1:17">
      <c r="A2" s="84" t="s">
        <v>1</v>
      </c>
      <c r="B2" s="84" t="s">
        <v>498</v>
      </c>
      <c r="C2" s="84" t="s">
        <v>499</v>
      </c>
      <c r="D2" s="84" t="s">
        <v>2</v>
      </c>
      <c r="E2" s="84" t="s">
        <v>3</v>
      </c>
      <c r="F2" s="84" t="s">
        <v>302</v>
      </c>
      <c r="G2" s="84" t="s">
        <v>485</v>
      </c>
      <c r="H2" s="84" t="s">
        <v>500</v>
      </c>
      <c r="I2" s="84" t="s">
        <v>501</v>
      </c>
      <c r="J2" s="85" t="s">
        <v>502</v>
      </c>
      <c r="K2" s="85" t="s">
        <v>312</v>
      </c>
      <c r="L2" s="85" t="s">
        <v>503</v>
      </c>
      <c r="M2" s="85" t="s">
        <v>504</v>
      </c>
      <c r="N2" s="85" t="s">
        <v>505</v>
      </c>
      <c r="O2" s="85" t="s">
        <v>506</v>
      </c>
      <c r="P2" s="85" t="s">
        <v>507</v>
      </c>
      <c r="Q2" s="84" t="s">
        <v>508</v>
      </c>
    </row>
    <row r="3" ht="28.5" customHeight="1" spans="1:17">
      <c r="A3" s="86" t="s">
        <v>18</v>
      </c>
      <c r="B3" s="86"/>
      <c r="C3" s="10">
        <v>0</v>
      </c>
      <c r="D3" s="87">
        <v>7168</v>
      </c>
      <c r="E3" s="87" t="s">
        <v>11</v>
      </c>
      <c r="F3" s="87" t="s">
        <v>318</v>
      </c>
      <c r="G3" s="87">
        <v>10</v>
      </c>
      <c r="H3" s="10" t="s">
        <v>527</v>
      </c>
      <c r="I3" s="87" t="s">
        <v>12</v>
      </c>
      <c r="J3" s="87">
        <v>2</v>
      </c>
      <c r="K3" s="87">
        <v>2</v>
      </c>
      <c r="L3" s="87">
        <v>2</v>
      </c>
      <c r="M3" s="87">
        <v>3</v>
      </c>
      <c r="N3" s="87">
        <v>1</v>
      </c>
      <c r="O3" s="87">
        <v>1</v>
      </c>
      <c r="P3" s="87">
        <f t="shared" ref="P3:P9" si="0">SUM((J$1*$J3),(K$1*$K3),(L$1*$L3)*(M$1*$M3),(N$1*$N3),(O$1*$O3))*100</f>
        <v>116</v>
      </c>
      <c r="Q3" s="87" t="s">
        <v>510</v>
      </c>
    </row>
    <row r="4" ht="26" hidden="1" spans="1:17">
      <c r="A4" s="89" t="s">
        <v>545</v>
      </c>
      <c r="B4" s="86" t="s">
        <v>546</v>
      </c>
      <c r="C4" s="10">
        <v>0</v>
      </c>
      <c r="D4" s="87">
        <v>9247</v>
      </c>
      <c r="E4" s="87" t="s">
        <v>11</v>
      </c>
      <c r="F4" s="87" t="s">
        <v>318</v>
      </c>
      <c r="G4" s="87">
        <v>10</v>
      </c>
      <c r="H4" s="10"/>
      <c r="I4" s="87" t="s">
        <v>19</v>
      </c>
      <c r="J4" s="87"/>
      <c r="K4" s="87"/>
      <c r="L4" s="87"/>
      <c r="M4" s="87"/>
      <c r="N4" s="87"/>
      <c r="O4" s="87"/>
      <c r="P4" s="87">
        <f t="shared" si="0"/>
        <v>0</v>
      </c>
      <c r="Q4" s="87" t="s">
        <v>510</v>
      </c>
    </row>
    <row r="5" ht="13" spans="1:17">
      <c r="A5" s="86" t="s">
        <v>190</v>
      </c>
      <c r="B5" s="86"/>
      <c r="C5" s="10">
        <v>1</v>
      </c>
      <c r="D5" s="87">
        <f>9840+D37</f>
        <v>12516</v>
      </c>
      <c r="E5" s="87"/>
      <c r="F5" s="87"/>
      <c r="G5" s="87"/>
      <c r="H5" s="10"/>
      <c r="I5" s="87"/>
      <c r="J5" s="87">
        <v>5</v>
      </c>
      <c r="K5" s="87">
        <v>5</v>
      </c>
      <c r="L5" s="87">
        <v>1</v>
      </c>
      <c r="M5" s="87">
        <v>4</v>
      </c>
      <c r="N5" s="87">
        <v>5</v>
      </c>
      <c r="O5" s="87">
        <v>5</v>
      </c>
      <c r="P5" s="87">
        <f t="shared" si="0"/>
        <v>379</v>
      </c>
      <c r="Q5" s="87"/>
    </row>
    <row r="6" ht="13" spans="1:17">
      <c r="A6" s="86" t="s">
        <v>41</v>
      </c>
      <c r="B6" s="86"/>
      <c r="C6" s="10">
        <v>2</v>
      </c>
      <c r="D6" s="87">
        <v>8925</v>
      </c>
      <c r="E6" s="87" t="s">
        <v>34</v>
      </c>
      <c r="F6" s="87" t="s">
        <v>318</v>
      </c>
      <c r="G6" s="87">
        <v>25</v>
      </c>
      <c r="H6" s="10"/>
      <c r="I6" s="87" t="s">
        <v>19</v>
      </c>
      <c r="J6" s="87">
        <v>2</v>
      </c>
      <c r="K6" s="87">
        <v>2</v>
      </c>
      <c r="L6" s="87">
        <v>1</v>
      </c>
      <c r="M6" s="87">
        <v>4</v>
      </c>
      <c r="N6" s="87">
        <v>1</v>
      </c>
      <c r="O6" s="87">
        <v>4</v>
      </c>
      <c r="P6" s="87">
        <f t="shared" si="0"/>
        <v>219</v>
      </c>
      <c r="Q6" s="87" t="s">
        <v>514</v>
      </c>
    </row>
    <row r="7" ht="17.1" customHeight="1" spans="1:18">
      <c r="A7" s="86" t="s">
        <v>45</v>
      </c>
      <c r="B7" s="86"/>
      <c r="C7" s="10">
        <v>2</v>
      </c>
      <c r="D7" s="87">
        <v>5854</v>
      </c>
      <c r="E7" s="87" t="s">
        <v>34</v>
      </c>
      <c r="F7" s="87" t="s">
        <v>318</v>
      </c>
      <c r="G7" s="87">
        <v>25</v>
      </c>
      <c r="H7" s="10"/>
      <c r="I7" s="87" t="s">
        <v>19</v>
      </c>
      <c r="J7" s="87">
        <v>2</v>
      </c>
      <c r="K7" s="87">
        <v>2</v>
      </c>
      <c r="L7" s="87">
        <v>1</v>
      </c>
      <c r="M7" s="87">
        <v>3</v>
      </c>
      <c r="N7" s="87">
        <v>1</v>
      </c>
      <c r="O7" s="87">
        <v>4</v>
      </c>
      <c r="P7" s="87">
        <f t="shared" si="0"/>
        <v>218</v>
      </c>
      <c r="Q7" s="87" t="s">
        <v>510</v>
      </c>
      <c r="R7" s="80" t="s">
        <v>516</v>
      </c>
    </row>
    <row r="8" ht="13" spans="1:17">
      <c r="A8" s="86" t="s">
        <v>292</v>
      </c>
      <c r="B8" s="86"/>
      <c r="C8" s="10">
        <v>3</v>
      </c>
      <c r="D8" s="87">
        <f>30*3*6</f>
        <v>540</v>
      </c>
      <c r="E8" s="87" t="s">
        <v>34</v>
      </c>
      <c r="F8" s="87" t="s">
        <v>513</v>
      </c>
      <c r="G8" s="87">
        <v>10</v>
      </c>
      <c r="H8" s="10"/>
      <c r="I8" s="87"/>
      <c r="J8" s="87">
        <v>5</v>
      </c>
      <c r="K8" s="87">
        <v>5</v>
      </c>
      <c r="L8" s="87">
        <v>1</v>
      </c>
      <c r="M8" s="87">
        <v>1</v>
      </c>
      <c r="N8" s="87">
        <v>5</v>
      </c>
      <c r="O8" s="87">
        <v>5</v>
      </c>
      <c r="P8" s="87">
        <f t="shared" si="0"/>
        <v>376</v>
      </c>
      <c r="Q8" s="87"/>
    </row>
    <row r="9" ht="13" spans="1:17">
      <c r="A9" s="86" t="s">
        <v>551</v>
      </c>
      <c r="B9" s="86"/>
      <c r="C9" s="10">
        <v>4</v>
      </c>
      <c r="D9" s="87">
        <f>150*3*6</f>
        <v>2700</v>
      </c>
      <c r="E9" s="87" t="s">
        <v>34</v>
      </c>
      <c r="F9" s="87" t="s">
        <v>513</v>
      </c>
      <c r="G9" s="87">
        <v>10</v>
      </c>
      <c r="H9" s="10"/>
      <c r="I9" s="87"/>
      <c r="J9" s="87">
        <v>5</v>
      </c>
      <c r="K9" s="87">
        <v>5</v>
      </c>
      <c r="L9" s="87">
        <v>1</v>
      </c>
      <c r="M9" s="87">
        <v>2</v>
      </c>
      <c r="N9" s="87">
        <v>5</v>
      </c>
      <c r="O9" s="87">
        <v>5</v>
      </c>
      <c r="P9" s="87">
        <f t="shared" si="0"/>
        <v>377</v>
      </c>
      <c r="Q9" s="87"/>
    </row>
    <row r="10" ht="13" spans="1:17">
      <c r="A10" s="86" t="s">
        <v>43</v>
      </c>
      <c r="B10" s="86"/>
      <c r="C10" s="10">
        <v>5</v>
      </c>
      <c r="D10" s="87">
        <v>3695</v>
      </c>
      <c r="E10" s="87" t="s">
        <v>34</v>
      </c>
      <c r="F10" s="87" t="s">
        <v>355</v>
      </c>
      <c r="G10" s="87">
        <v>8</v>
      </c>
      <c r="H10" s="10" t="s">
        <v>538</v>
      </c>
      <c r="I10" s="87" t="s">
        <v>12</v>
      </c>
      <c r="J10" s="87">
        <v>1</v>
      </c>
      <c r="K10" s="87">
        <v>2</v>
      </c>
      <c r="L10" s="87">
        <v>1</v>
      </c>
      <c r="M10" s="87">
        <v>2</v>
      </c>
      <c r="N10" s="87">
        <v>1</v>
      </c>
      <c r="O10" s="87">
        <v>1</v>
      </c>
      <c r="P10" s="87">
        <f t="shared" ref="P10:P16" si="1">SUM((J$1*$J10),(K$1*$K10),(L$1*$L10)*(M$1*$M10),(N$1*$N10),(O$1*$O10))*100</f>
        <v>92</v>
      </c>
      <c r="Q10" s="87" t="s">
        <v>510</v>
      </c>
    </row>
    <row r="11" ht="26" spans="1:17">
      <c r="A11" s="86" t="s">
        <v>48</v>
      </c>
      <c r="B11" s="86"/>
      <c r="C11" s="10">
        <v>6</v>
      </c>
      <c r="D11" s="87">
        <v>9845</v>
      </c>
      <c r="E11" s="87" t="s">
        <v>34</v>
      </c>
      <c r="F11" s="87" t="s">
        <v>355</v>
      </c>
      <c r="G11" s="87">
        <v>10</v>
      </c>
      <c r="H11" s="10" t="s">
        <v>509</v>
      </c>
      <c r="I11" s="87" t="s">
        <v>12</v>
      </c>
      <c r="J11" s="87">
        <v>5</v>
      </c>
      <c r="K11" s="87">
        <v>5</v>
      </c>
      <c r="L11" s="87">
        <v>1</v>
      </c>
      <c r="M11" s="87">
        <v>5</v>
      </c>
      <c r="N11" s="87">
        <v>5</v>
      </c>
      <c r="O11" s="87">
        <v>5</v>
      </c>
      <c r="P11" s="87">
        <f>SUM((J$1*$J11),(K$1*$K11),(L$1*$L11)*(M$1*$M11),(N$1*$N11),(O$1*$O11))*100</f>
        <v>380</v>
      </c>
      <c r="Q11" s="87" t="s">
        <v>510</v>
      </c>
    </row>
    <row r="12" ht="44.1" customHeight="1" spans="1:17">
      <c r="A12" s="86" t="s">
        <v>46</v>
      </c>
      <c r="B12" s="86"/>
      <c r="C12" s="10">
        <v>6</v>
      </c>
      <c r="D12" s="87">
        <v>2981</v>
      </c>
      <c r="E12" s="87" t="s">
        <v>34</v>
      </c>
      <c r="F12" s="87" t="s">
        <v>318</v>
      </c>
      <c r="G12" s="87">
        <v>7</v>
      </c>
      <c r="H12" s="10" t="s">
        <v>515</v>
      </c>
      <c r="I12" s="87" t="s">
        <v>12</v>
      </c>
      <c r="J12" s="87">
        <v>5</v>
      </c>
      <c r="K12" s="87">
        <v>5</v>
      </c>
      <c r="L12" s="87">
        <v>1</v>
      </c>
      <c r="M12" s="87">
        <v>2</v>
      </c>
      <c r="N12" s="87">
        <v>5</v>
      </c>
      <c r="O12" s="87">
        <v>5</v>
      </c>
      <c r="P12" s="87">
        <f>SUM((J$1*$J12),(K$1*$K12),(L$1*$L12)*(M$1*$M12),(N$1*$N12),(O$1*$O12))*100</f>
        <v>377</v>
      </c>
      <c r="Q12" s="87" t="s">
        <v>510</v>
      </c>
    </row>
    <row r="13" ht="13" spans="1:17">
      <c r="A13" s="86" t="s">
        <v>76</v>
      </c>
      <c r="B13" s="86"/>
      <c r="C13" s="10">
        <v>7</v>
      </c>
      <c r="D13" s="87">
        <v>10287</v>
      </c>
      <c r="E13" s="87" t="s">
        <v>11</v>
      </c>
      <c r="F13" s="87" t="s">
        <v>364</v>
      </c>
      <c r="G13" s="87">
        <v>10</v>
      </c>
      <c r="H13" s="10" t="s">
        <v>534</v>
      </c>
      <c r="I13" s="87" t="s">
        <v>12</v>
      </c>
      <c r="J13" s="87">
        <v>1</v>
      </c>
      <c r="K13" s="87">
        <v>1</v>
      </c>
      <c r="L13" s="87">
        <v>1</v>
      </c>
      <c r="M13" s="87">
        <v>1</v>
      </c>
      <c r="N13" s="87">
        <v>1</v>
      </c>
      <c r="O13" s="87">
        <v>1</v>
      </c>
      <c r="P13" s="87">
        <f t="shared" si="1"/>
        <v>76</v>
      </c>
      <c r="Q13" s="87" t="s">
        <v>514</v>
      </c>
    </row>
    <row r="14" ht="26" hidden="1" spans="1:17">
      <c r="A14" s="89" t="s">
        <v>72</v>
      </c>
      <c r="B14" s="86" t="s">
        <v>532</v>
      </c>
      <c r="C14" s="10"/>
      <c r="D14" s="87">
        <v>2013</v>
      </c>
      <c r="E14" s="87" t="s">
        <v>11</v>
      </c>
      <c r="F14" s="87" t="s">
        <v>491</v>
      </c>
      <c r="G14" s="87">
        <v>10</v>
      </c>
      <c r="H14" s="10" t="s">
        <v>533</v>
      </c>
      <c r="I14" s="87" t="s">
        <v>12</v>
      </c>
      <c r="J14" s="87">
        <v>4</v>
      </c>
      <c r="K14" s="87">
        <v>5</v>
      </c>
      <c r="L14" s="87">
        <v>5</v>
      </c>
      <c r="M14" s="87">
        <v>2</v>
      </c>
      <c r="N14" s="87">
        <v>5</v>
      </c>
      <c r="O14" s="87"/>
      <c r="P14" s="87">
        <f t="shared" si="1"/>
        <v>190</v>
      </c>
      <c r="Q14" s="87" t="s">
        <v>525</v>
      </c>
    </row>
    <row r="15" ht="31.5" hidden="1" customHeight="1" spans="1:17">
      <c r="A15" s="89" t="s">
        <v>68</v>
      </c>
      <c r="B15" s="86" t="s">
        <v>535</v>
      </c>
      <c r="C15" s="10"/>
      <c r="D15" s="87">
        <v>1639</v>
      </c>
      <c r="E15" s="87" t="s">
        <v>11</v>
      </c>
      <c r="F15" s="87" t="s">
        <v>491</v>
      </c>
      <c r="G15" s="87">
        <v>10</v>
      </c>
      <c r="H15" s="10" t="s">
        <v>536</v>
      </c>
      <c r="I15" s="87" t="s">
        <v>12</v>
      </c>
      <c r="J15" s="87">
        <v>3</v>
      </c>
      <c r="K15" s="87">
        <v>3</v>
      </c>
      <c r="L15" s="87">
        <v>5</v>
      </c>
      <c r="M15" s="87">
        <v>2</v>
      </c>
      <c r="N15" s="87">
        <v>5</v>
      </c>
      <c r="O15" s="87"/>
      <c r="P15" s="87">
        <f t="shared" si="1"/>
        <v>140</v>
      </c>
      <c r="Q15" s="87" t="s">
        <v>525</v>
      </c>
    </row>
    <row r="16" ht="14.5" spans="1:17">
      <c r="A16" s="90" t="s">
        <v>177</v>
      </c>
      <c r="B16" s="90" t="s">
        <v>531</v>
      </c>
      <c r="C16" s="10">
        <v>8</v>
      </c>
      <c r="D16" s="90">
        <v>3558</v>
      </c>
      <c r="E16" s="87"/>
      <c r="F16" s="87"/>
      <c r="G16" s="87"/>
      <c r="H16" s="10"/>
      <c r="I16" s="87"/>
      <c r="J16" s="87">
        <v>2</v>
      </c>
      <c r="K16" s="87">
        <v>1</v>
      </c>
      <c r="L16" s="87">
        <v>1</v>
      </c>
      <c r="M16" s="87">
        <v>3</v>
      </c>
      <c r="N16" s="87">
        <v>1</v>
      </c>
      <c r="O16" s="87">
        <v>2</v>
      </c>
      <c r="P16" s="87">
        <f t="shared" si="1"/>
        <v>133</v>
      </c>
      <c r="Q16" s="87"/>
    </row>
    <row r="17" ht="13" spans="1:17">
      <c r="A17" s="86" t="s">
        <v>25</v>
      </c>
      <c r="B17" s="86" t="s">
        <v>526</v>
      </c>
      <c r="C17" s="10" t="s">
        <v>522</v>
      </c>
      <c r="D17" s="87">
        <v>6804</v>
      </c>
      <c r="E17" s="87" t="s">
        <v>11</v>
      </c>
      <c r="F17" s="87" t="s">
        <v>318</v>
      </c>
      <c r="G17" s="87">
        <v>10</v>
      </c>
      <c r="H17" s="10"/>
      <c r="I17" s="87" t="s">
        <v>19</v>
      </c>
      <c r="J17" s="87">
        <v>3</v>
      </c>
      <c r="K17" s="87">
        <v>3</v>
      </c>
      <c r="L17" s="87">
        <v>1</v>
      </c>
      <c r="M17" s="87">
        <v>3</v>
      </c>
      <c r="N17" s="87">
        <v>1</v>
      </c>
      <c r="O17" s="87">
        <v>3</v>
      </c>
      <c r="P17" s="87">
        <f t="shared" ref="P17:P37" si="2">SUM((J$1*$J17),(K$1*$K17),(L$1*$L17)*(M$1*$M17),(N$1*$N17),(O$1*$O17))*100</f>
        <v>218</v>
      </c>
      <c r="Q17" s="87" t="s">
        <v>529</v>
      </c>
    </row>
    <row r="18" ht="13" spans="1:17">
      <c r="A18" s="86" t="s">
        <v>54</v>
      </c>
      <c r="B18" s="86"/>
      <c r="C18" s="10" t="s">
        <v>511</v>
      </c>
      <c r="D18" s="87">
        <v>12829</v>
      </c>
      <c r="E18" s="87" t="s">
        <v>11</v>
      </c>
      <c r="F18" s="87" t="s">
        <v>364</v>
      </c>
      <c r="G18" s="87">
        <v>10</v>
      </c>
      <c r="H18" s="10"/>
      <c r="I18" s="87" t="s">
        <v>19</v>
      </c>
      <c r="J18" s="87">
        <v>5</v>
      </c>
      <c r="K18" s="87">
        <v>5</v>
      </c>
      <c r="L18" s="87">
        <v>1</v>
      </c>
      <c r="M18" s="87">
        <v>5</v>
      </c>
      <c r="N18" s="87">
        <v>5</v>
      </c>
      <c r="O18" s="87">
        <v>5</v>
      </c>
      <c r="P18" s="87">
        <f t="shared" si="2"/>
        <v>380</v>
      </c>
      <c r="Q18" s="87" t="s">
        <v>510</v>
      </c>
    </row>
    <row r="19" ht="13" spans="1:17">
      <c r="A19" s="86" t="s">
        <v>524</v>
      </c>
      <c r="B19" s="86"/>
      <c r="C19" s="10">
        <v>9</v>
      </c>
      <c r="D19" s="87">
        <v>45835</v>
      </c>
      <c r="E19" s="87" t="s">
        <v>11</v>
      </c>
      <c r="F19" s="87" t="s">
        <v>318</v>
      </c>
      <c r="G19" s="87">
        <v>10</v>
      </c>
      <c r="H19" s="10"/>
      <c r="I19" s="87" t="s">
        <v>19</v>
      </c>
      <c r="J19" s="87">
        <v>4</v>
      </c>
      <c r="K19" s="87">
        <v>5</v>
      </c>
      <c r="L19" s="87">
        <v>1</v>
      </c>
      <c r="M19" s="87">
        <v>5</v>
      </c>
      <c r="N19" s="87">
        <v>1</v>
      </c>
      <c r="O19" s="87">
        <v>3</v>
      </c>
      <c r="P19" s="87">
        <f t="shared" si="2"/>
        <v>270</v>
      </c>
      <c r="Q19" s="87" t="s">
        <v>514</v>
      </c>
    </row>
    <row r="20" ht="13" hidden="1" spans="1:17">
      <c r="A20" s="89" t="s">
        <v>57</v>
      </c>
      <c r="B20" s="89" t="s">
        <v>547</v>
      </c>
      <c r="C20" s="91"/>
      <c r="D20" s="87">
        <v>5000</v>
      </c>
      <c r="E20" s="87" t="s">
        <v>11</v>
      </c>
      <c r="F20" s="87" t="s">
        <v>491</v>
      </c>
      <c r="G20" s="87">
        <v>10</v>
      </c>
      <c r="H20" s="10"/>
      <c r="I20" s="87" t="s">
        <v>19</v>
      </c>
      <c r="J20" s="87"/>
      <c r="K20" s="87"/>
      <c r="L20" s="87"/>
      <c r="M20" s="87"/>
      <c r="N20" s="87"/>
      <c r="O20" s="87"/>
      <c r="P20" s="87">
        <f t="shared" si="2"/>
        <v>0</v>
      </c>
      <c r="Q20" s="87" t="s">
        <v>514</v>
      </c>
    </row>
    <row r="21" ht="26" hidden="1" spans="1:17">
      <c r="A21" s="89" t="s">
        <v>67</v>
      </c>
      <c r="B21" s="89" t="s">
        <v>518</v>
      </c>
      <c r="C21" s="10"/>
      <c r="D21" s="87">
        <v>111114</v>
      </c>
      <c r="E21" s="87" t="s">
        <v>34</v>
      </c>
      <c r="F21" s="87" t="s">
        <v>318</v>
      </c>
      <c r="G21" s="87">
        <v>10</v>
      </c>
      <c r="H21" s="10" t="s">
        <v>519</v>
      </c>
      <c r="I21" s="87" t="s">
        <v>12</v>
      </c>
      <c r="J21" s="87">
        <v>2</v>
      </c>
      <c r="K21" s="87">
        <v>4</v>
      </c>
      <c r="L21" s="87">
        <v>3</v>
      </c>
      <c r="M21" s="87">
        <v>5</v>
      </c>
      <c r="N21" s="87">
        <v>3</v>
      </c>
      <c r="O21" s="87">
        <v>5</v>
      </c>
      <c r="P21" s="87">
        <f t="shared" si="2"/>
        <v>305</v>
      </c>
      <c r="Q21" s="87" t="s">
        <v>514</v>
      </c>
    </row>
    <row r="22" ht="52" hidden="1" spans="1:17">
      <c r="A22" s="89" t="s">
        <v>39</v>
      </c>
      <c r="B22" s="89" t="s">
        <v>543</v>
      </c>
      <c r="C22" s="10"/>
      <c r="D22" s="87">
        <v>5337</v>
      </c>
      <c r="E22" s="87" t="s">
        <v>11</v>
      </c>
      <c r="F22" s="87" t="s">
        <v>318</v>
      </c>
      <c r="G22" s="87">
        <v>5</v>
      </c>
      <c r="H22" s="10" t="s">
        <v>544</v>
      </c>
      <c r="I22" s="87" t="s">
        <v>12</v>
      </c>
      <c r="J22" s="87">
        <v>2</v>
      </c>
      <c r="K22" s="87">
        <v>2</v>
      </c>
      <c r="L22" s="87">
        <v>1</v>
      </c>
      <c r="M22" s="87">
        <v>1</v>
      </c>
      <c r="N22" s="87">
        <v>1</v>
      </c>
      <c r="O22" s="87">
        <v>1</v>
      </c>
      <c r="P22" s="87">
        <f t="shared" si="2"/>
        <v>111</v>
      </c>
      <c r="Q22" s="87" t="s">
        <v>510</v>
      </c>
    </row>
    <row r="23" ht="26" hidden="1" spans="1:17">
      <c r="A23" s="89" t="s">
        <v>37</v>
      </c>
      <c r="B23" s="86" t="s">
        <v>548</v>
      </c>
      <c r="C23" s="10"/>
      <c r="D23" s="87">
        <v>14504</v>
      </c>
      <c r="E23" s="87" t="s">
        <v>11</v>
      </c>
      <c r="F23" s="87" t="s">
        <v>318</v>
      </c>
      <c r="G23" s="87">
        <v>10</v>
      </c>
      <c r="H23" s="10"/>
      <c r="I23" s="87" t="s">
        <v>19</v>
      </c>
      <c r="J23" s="87"/>
      <c r="K23" s="87"/>
      <c r="L23" s="87"/>
      <c r="M23" s="87"/>
      <c r="N23" s="87"/>
      <c r="O23" s="87"/>
      <c r="P23" s="87">
        <f t="shared" si="2"/>
        <v>0</v>
      </c>
      <c r="Q23" s="87" t="s">
        <v>510</v>
      </c>
    </row>
    <row r="24" ht="26" hidden="1" spans="1:17">
      <c r="A24" s="89" t="s">
        <v>33</v>
      </c>
      <c r="B24" s="89" t="s">
        <v>549</v>
      </c>
      <c r="C24" s="10"/>
      <c r="D24" s="87">
        <v>10119</v>
      </c>
      <c r="E24" s="87" t="s">
        <v>34</v>
      </c>
      <c r="F24" s="87" t="s">
        <v>318</v>
      </c>
      <c r="G24" s="87">
        <v>5</v>
      </c>
      <c r="H24" s="10"/>
      <c r="I24" s="87" t="s">
        <v>19</v>
      </c>
      <c r="J24" s="87"/>
      <c r="K24" s="87"/>
      <c r="L24" s="87"/>
      <c r="M24" s="87"/>
      <c r="N24" s="87"/>
      <c r="O24" s="87"/>
      <c r="P24" s="87">
        <f t="shared" si="2"/>
        <v>0</v>
      </c>
      <c r="Q24" s="87" t="s">
        <v>510</v>
      </c>
    </row>
    <row r="25" ht="13" hidden="1" spans="1:17">
      <c r="A25" s="89" t="s">
        <v>38</v>
      </c>
      <c r="B25" s="89" t="s">
        <v>518</v>
      </c>
      <c r="C25" s="10"/>
      <c r="D25" s="87">
        <v>7232</v>
      </c>
      <c r="E25" s="87" t="s">
        <v>34</v>
      </c>
      <c r="F25" s="87" t="s">
        <v>318</v>
      </c>
      <c r="G25" s="87">
        <v>15</v>
      </c>
      <c r="H25" s="10"/>
      <c r="I25" s="87" t="s">
        <v>19</v>
      </c>
      <c r="J25" s="87"/>
      <c r="K25" s="87"/>
      <c r="L25" s="87"/>
      <c r="M25" s="87">
        <v>5</v>
      </c>
      <c r="N25" s="87"/>
      <c r="O25" s="87"/>
      <c r="P25" s="87">
        <f t="shared" si="2"/>
        <v>0</v>
      </c>
      <c r="Q25" s="87" t="s">
        <v>525</v>
      </c>
    </row>
    <row r="26" ht="13" hidden="1" spans="1:17">
      <c r="A26" s="89" t="s">
        <v>50</v>
      </c>
      <c r="B26" s="89" t="s">
        <v>518</v>
      </c>
      <c r="C26" s="10"/>
      <c r="D26" s="87">
        <v>4243</v>
      </c>
      <c r="E26" s="87" t="s">
        <v>11</v>
      </c>
      <c r="F26" s="87" t="s">
        <v>364</v>
      </c>
      <c r="G26" s="87">
        <v>12</v>
      </c>
      <c r="H26" s="10" t="s">
        <v>537</v>
      </c>
      <c r="I26" s="87" t="s">
        <v>12</v>
      </c>
      <c r="J26" s="87">
        <v>1</v>
      </c>
      <c r="K26" s="87">
        <v>5</v>
      </c>
      <c r="L26" s="87">
        <v>5</v>
      </c>
      <c r="M26" s="87">
        <v>4</v>
      </c>
      <c r="N26" s="87">
        <v>5</v>
      </c>
      <c r="O26" s="87"/>
      <c r="P26" s="87">
        <f t="shared" si="2"/>
        <v>140</v>
      </c>
      <c r="Q26" s="87" t="s">
        <v>525</v>
      </c>
    </row>
    <row r="27" ht="13.5" hidden="1" customHeight="1" spans="1:17">
      <c r="A27" s="89" t="s">
        <v>52</v>
      </c>
      <c r="B27" s="89" t="s">
        <v>518</v>
      </c>
      <c r="C27" s="10"/>
      <c r="D27" s="87">
        <v>5228</v>
      </c>
      <c r="E27" s="87" t="s">
        <v>11</v>
      </c>
      <c r="F27" s="87" t="s">
        <v>318</v>
      </c>
      <c r="G27" s="87">
        <v>30</v>
      </c>
      <c r="H27" s="10"/>
      <c r="I27" s="87" t="s">
        <v>19</v>
      </c>
      <c r="J27" s="87"/>
      <c r="K27" s="87"/>
      <c r="L27" s="87"/>
      <c r="M27" s="87">
        <v>5</v>
      </c>
      <c r="N27" s="87"/>
      <c r="O27" s="87"/>
      <c r="P27" s="87">
        <f t="shared" si="2"/>
        <v>0</v>
      </c>
      <c r="Q27" s="87" t="s">
        <v>525</v>
      </c>
    </row>
    <row r="28" ht="78" hidden="1" spans="1:17">
      <c r="A28" s="89" t="s">
        <v>70</v>
      </c>
      <c r="B28" s="86" t="s">
        <v>539</v>
      </c>
      <c r="C28" s="10" t="s">
        <v>540</v>
      </c>
      <c r="D28" s="87">
        <v>2025</v>
      </c>
      <c r="E28" s="87" t="s">
        <v>11</v>
      </c>
      <c r="F28" s="87" t="s">
        <v>364</v>
      </c>
      <c r="G28" s="87">
        <v>10</v>
      </c>
      <c r="H28" s="10" t="s">
        <v>541</v>
      </c>
      <c r="I28" s="87" t="s">
        <v>12</v>
      </c>
      <c r="J28" s="87">
        <v>1</v>
      </c>
      <c r="K28" s="87">
        <v>5</v>
      </c>
      <c r="L28" s="87">
        <v>5</v>
      </c>
      <c r="M28" s="87">
        <v>2</v>
      </c>
      <c r="N28" s="87">
        <v>5</v>
      </c>
      <c r="O28" s="87"/>
      <c r="P28" s="87">
        <f t="shared" si="2"/>
        <v>130</v>
      </c>
      <c r="Q28" s="87" t="s">
        <v>525</v>
      </c>
    </row>
    <row r="29" ht="13" hidden="1" spans="1:17">
      <c r="A29" s="89" t="s">
        <v>74</v>
      </c>
      <c r="B29" s="86" t="s">
        <v>518</v>
      </c>
      <c r="C29" s="10"/>
      <c r="D29" s="87">
        <v>1931</v>
      </c>
      <c r="E29" s="87" t="s">
        <v>11</v>
      </c>
      <c r="F29" s="87" t="s">
        <v>364</v>
      </c>
      <c r="G29" s="87">
        <v>10</v>
      </c>
      <c r="H29" s="10" t="s">
        <v>520</v>
      </c>
      <c r="I29" s="87" t="s">
        <v>12</v>
      </c>
      <c r="J29" s="87">
        <v>3</v>
      </c>
      <c r="K29" s="87">
        <v>5</v>
      </c>
      <c r="L29" s="87">
        <v>1</v>
      </c>
      <c r="M29" s="87">
        <v>2</v>
      </c>
      <c r="N29" s="87">
        <v>1</v>
      </c>
      <c r="O29" s="87">
        <v>4</v>
      </c>
      <c r="P29" s="87">
        <f t="shared" si="2"/>
        <v>282</v>
      </c>
      <c r="Q29" s="87" t="s">
        <v>529</v>
      </c>
    </row>
    <row r="30" ht="13" hidden="1" spans="1:17">
      <c r="A30" s="89" t="s">
        <v>79</v>
      </c>
      <c r="B30" s="86" t="s">
        <v>518</v>
      </c>
      <c r="C30" s="10"/>
      <c r="D30" s="87">
        <v>4037</v>
      </c>
      <c r="E30" s="87" t="s">
        <v>11</v>
      </c>
      <c r="F30" s="87" t="s">
        <v>318</v>
      </c>
      <c r="G30" s="87">
        <v>10</v>
      </c>
      <c r="H30" s="10" t="s">
        <v>527</v>
      </c>
      <c r="I30" s="87" t="s">
        <v>12</v>
      </c>
      <c r="J30" s="87">
        <v>1</v>
      </c>
      <c r="K30" s="87">
        <v>3</v>
      </c>
      <c r="L30" s="87">
        <v>5</v>
      </c>
      <c r="M30" s="87">
        <v>3</v>
      </c>
      <c r="N30" s="87">
        <v>1</v>
      </c>
      <c r="O30" s="87">
        <v>4</v>
      </c>
      <c r="P30" s="87">
        <f t="shared" si="2"/>
        <v>225</v>
      </c>
      <c r="Q30" s="87" t="s">
        <v>529</v>
      </c>
    </row>
    <row r="31" ht="13" hidden="1" spans="1:17">
      <c r="A31" s="89" t="s">
        <v>77</v>
      </c>
      <c r="B31" s="86" t="s">
        <v>539</v>
      </c>
      <c r="C31" s="10" t="s">
        <v>540</v>
      </c>
      <c r="D31" s="87">
        <v>1926</v>
      </c>
      <c r="E31" s="87" t="s">
        <v>11</v>
      </c>
      <c r="F31" s="87" t="s">
        <v>318</v>
      </c>
      <c r="G31" s="87">
        <v>10</v>
      </c>
      <c r="H31" s="10"/>
      <c r="I31" s="87" t="s">
        <v>19</v>
      </c>
      <c r="J31" s="87"/>
      <c r="K31" s="87"/>
      <c r="L31" s="87"/>
      <c r="M31" s="87"/>
      <c r="N31" s="87"/>
      <c r="O31" s="87"/>
      <c r="P31" s="87">
        <f t="shared" si="2"/>
        <v>0</v>
      </c>
      <c r="Q31" s="87" t="s">
        <v>529</v>
      </c>
    </row>
    <row r="32" ht="13" hidden="1" spans="1:17">
      <c r="A32" s="89" t="s">
        <v>82</v>
      </c>
      <c r="B32" s="86" t="s">
        <v>528</v>
      </c>
      <c r="C32" s="10"/>
      <c r="D32" s="87">
        <v>4381</v>
      </c>
      <c r="E32" s="87" t="s">
        <v>11</v>
      </c>
      <c r="F32" s="87" t="s">
        <v>343</v>
      </c>
      <c r="G32" s="87">
        <v>10</v>
      </c>
      <c r="H32" s="10" t="s">
        <v>527</v>
      </c>
      <c r="I32" s="87" t="s">
        <v>12</v>
      </c>
      <c r="J32" s="87">
        <v>1</v>
      </c>
      <c r="K32" s="87">
        <v>3</v>
      </c>
      <c r="L32" s="87">
        <v>5</v>
      </c>
      <c r="M32" s="87">
        <v>3</v>
      </c>
      <c r="N32" s="87">
        <v>1</v>
      </c>
      <c r="O32" s="87">
        <v>4</v>
      </c>
      <c r="P32" s="87">
        <f t="shared" si="2"/>
        <v>225</v>
      </c>
      <c r="Q32" s="87" t="s">
        <v>529</v>
      </c>
    </row>
    <row r="33" ht="13" hidden="1" spans="1:17">
      <c r="A33" s="89" t="s">
        <v>83</v>
      </c>
      <c r="B33" s="86" t="s">
        <v>528</v>
      </c>
      <c r="C33" s="10"/>
      <c r="D33" s="87">
        <v>7125</v>
      </c>
      <c r="E33" s="87" t="s">
        <v>34</v>
      </c>
      <c r="F33" s="87" t="s">
        <v>364</v>
      </c>
      <c r="G33" s="87">
        <v>10</v>
      </c>
      <c r="H33" s="10" t="s">
        <v>530</v>
      </c>
      <c r="I33" s="87" t="s">
        <v>12</v>
      </c>
      <c r="J33" s="87">
        <v>1</v>
      </c>
      <c r="K33" s="87">
        <v>5</v>
      </c>
      <c r="L33" s="87">
        <v>1</v>
      </c>
      <c r="M33" s="87">
        <v>4</v>
      </c>
      <c r="N33" s="87">
        <v>3</v>
      </c>
      <c r="O33" s="87">
        <v>3</v>
      </c>
      <c r="P33" s="87">
        <f t="shared" si="2"/>
        <v>219</v>
      </c>
      <c r="Q33" s="87" t="s">
        <v>529</v>
      </c>
    </row>
    <row r="34" hidden="1" customHeight="1" spans="1:17">
      <c r="A34" s="89" t="s">
        <v>27</v>
      </c>
      <c r="B34" s="86" t="s">
        <v>528</v>
      </c>
      <c r="C34" s="10"/>
      <c r="D34" s="87">
        <v>5170</v>
      </c>
      <c r="E34" s="87" t="s">
        <v>11</v>
      </c>
      <c r="F34" s="87" t="s">
        <v>318</v>
      </c>
      <c r="G34" s="87">
        <v>10</v>
      </c>
      <c r="H34" s="10"/>
      <c r="I34" s="87" t="s">
        <v>19</v>
      </c>
      <c r="J34" s="87"/>
      <c r="K34" s="87"/>
      <c r="L34" s="87"/>
      <c r="M34" s="87"/>
      <c r="N34" s="87"/>
      <c r="O34" s="87"/>
      <c r="P34" s="87">
        <f t="shared" si="2"/>
        <v>0</v>
      </c>
      <c r="Q34" s="87" t="s">
        <v>529</v>
      </c>
    </row>
    <row r="35" hidden="1" customHeight="1" spans="1:17">
      <c r="A35" s="89" t="s">
        <v>30</v>
      </c>
      <c r="B35" s="86" t="s">
        <v>528</v>
      </c>
      <c r="C35" s="10"/>
      <c r="D35" s="87">
        <v>5159</v>
      </c>
      <c r="E35" s="87" t="s">
        <v>11</v>
      </c>
      <c r="F35" s="87" t="s">
        <v>343</v>
      </c>
      <c r="G35" s="87">
        <v>20</v>
      </c>
      <c r="H35" s="10"/>
      <c r="I35" s="87" t="s">
        <v>19</v>
      </c>
      <c r="J35" s="87"/>
      <c r="K35" s="87"/>
      <c r="L35" s="87"/>
      <c r="M35" s="87"/>
      <c r="N35" s="87"/>
      <c r="O35" s="87"/>
      <c r="P35" s="87">
        <f t="shared" si="2"/>
        <v>0</v>
      </c>
      <c r="Q35" s="87" t="s">
        <v>529</v>
      </c>
    </row>
    <row r="36" hidden="1" customHeight="1" spans="1:17">
      <c r="A36" s="89" t="s">
        <v>84</v>
      </c>
      <c r="B36" s="86" t="s">
        <v>539</v>
      </c>
      <c r="C36" s="10" t="s">
        <v>540</v>
      </c>
      <c r="D36" s="87">
        <v>2192</v>
      </c>
      <c r="E36" s="87" t="s">
        <v>11</v>
      </c>
      <c r="F36" s="87" t="s">
        <v>318</v>
      </c>
      <c r="G36" s="87">
        <v>10</v>
      </c>
      <c r="H36" s="10" t="s">
        <v>542</v>
      </c>
      <c r="I36" s="87" t="s">
        <v>12</v>
      </c>
      <c r="J36" s="87">
        <v>2</v>
      </c>
      <c r="K36" s="87">
        <v>3</v>
      </c>
      <c r="L36" s="87">
        <v>1</v>
      </c>
      <c r="M36" s="87">
        <v>2</v>
      </c>
      <c r="N36" s="87">
        <v>1</v>
      </c>
      <c r="O36" s="87">
        <v>1</v>
      </c>
      <c r="P36" s="87">
        <f t="shared" si="2"/>
        <v>127</v>
      </c>
      <c r="Q36" s="87" t="s">
        <v>529</v>
      </c>
    </row>
    <row r="37" hidden="1" customHeight="1" spans="1:17">
      <c r="A37" s="89" t="s">
        <v>85</v>
      </c>
      <c r="B37" s="86" t="s">
        <v>521</v>
      </c>
      <c r="C37" s="10" t="s">
        <v>522</v>
      </c>
      <c r="D37" s="87">
        <v>2676</v>
      </c>
      <c r="E37" s="87" t="s">
        <v>11</v>
      </c>
      <c r="F37" s="87" t="s">
        <v>355</v>
      </c>
      <c r="G37" s="87">
        <v>10</v>
      </c>
      <c r="H37" s="10" t="s">
        <v>523</v>
      </c>
      <c r="I37" s="87" t="s">
        <v>12</v>
      </c>
      <c r="J37" s="87">
        <v>3</v>
      </c>
      <c r="K37" s="87">
        <v>4</v>
      </c>
      <c r="L37" s="87">
        <v>2</v>
      </c>
      <c r="M37" s="87">
        <v>3</v>
      </c>
      <c r="N37" s="87">
        <v>2</v>
      </c>
      <c r="O37" s="87">
        <v>4</v>
      </c>
      <c r="P37" s="87">
        <f t="shared" si="2"/>
        <v>276</v>
      </c>
      <c r="Q37" s="87" t="s">
        <v>514</v>
      </c>
    </row>
    <row r="38" hidden="1" customHeight="1" spans="1:17">
      <c r="A38" s="92" t="s">
        <v>173</v>
      </c>
      <c r="B38" s="90" t="s">
        <v>550</v>
      </c>
      <c r="C38" s="10"/>
      <c r="D38" s="90">
        <v>6131</v>
      </c>
      <c r="E38" s="87"/>
      <c r="F38" s="87"/>
      <c r="G38" s="87"/>
      <c r="H38" s="10"/>
      <c r="I38" s="87"/>
      <c r="J38" s="87"/>
      <c r="K38" s="87"/>
      <c r="L38" s="87"/>
      <c r="M38" s="87"/>
      <c r="N38" s="87"/>
      <c r="O38" s="87"/>
      <c r="P38" s="87"/>
      <c r="Q38" s="87"/>
    </row>
    <row r="39" hidden="1" customHeight="1" spans="1:17">
      <c r="A39" s="92" t="s">
        <v>141</v>
      </c>
      <c r="B39" s="90" t="s">
        <v>528</v>
      </c>
      <c r="C39" s="10"/>
      <c r="D39" s="90">
        <v>8512</v>
      </c>
      <c r="E39" s="87"/>
      <c r="F39" s="87"/>
      <c r="G39" s="87"/>
      <c r="H39" s="10"/>
      <c r="I39" s="87"/>
      <c r="J39" s="87"/>
      <c r="K39" s="87"/>
      <c r="L39" s="87"/>
      <c r="M39" s="87"/>
      <c r="N39" s="87"/>
      <c r="O39" s="87"/>
      <c r="P39" s="87"/>
      <c r="Q39" s="87"/>
    </row>
    <row r="40" customHeight="1" spans="1:3">
      <c r="A40"/>
      <c r="B40"/>
      <c r="C40"/>
    </row>
    <row r="41" customHeight="1" spans="1:3">
      <c r="A41" s="93"/>
      <c r="B41" s="93"/>
      <c r="C41"/>
    </row>
  </sheetData>
  <autoFilter xmlns:etc="http://www.wps.cn/officeDocument/2017/etCustomData" ref="A2:R39" etc:filterBottomFollowUsedRange="0">
    <filterColumn colId="0">
      <colorFilter dxfId="53"/>
    </filterColumn>
    <extLst/>
  </autoFilter>
  <sortState ref="A3:Q39">
    <sortCondition ref="C3:C39"/>
  </sortState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3" activePane="bottomRight" state="frozen"/>
      <selection/>
      <selection pane="topRight"/>
      <selection pane="bottomLeft"/>
      <selection pane="bottomRight" activeCell="A1" sqref="A1"/>
    </sheetView>
  </sheetViews>
  <sheetFormatPr defaultColWidth="62.2818181818182" defaultRowHeight="12.75" customHeight="1"/>
  <cols>
    <col min="1" max="1" width="51" style="81" customWidth="1"/>
    <col min="2" max="2" width="18.8545454545455" style="81" customWidth="1"/>
    <col min="3" max="3" width="30.8545454545455" style="80" customWidth="1"/>
    <col min="4" max="4" width="14.4272727272727" style="82" customWidth="1"/>
    <col min="5" max="5" width="12.1363636363636" style="82" customWidth="1"/>
    <col min="6" max="6" width="16.2818181818182" style="82" customWidth="1"/>
    <col min="7" max="7" width="16" style="82" customWidth="1"/>
    <col min="8" max="8" width="24.7090909090909" style="80" customWidth="1"/>
    <col min="9" max="9" width="12.8545454545455" style="82" customWidth="1"/>
    <col min="10" max="16" width="11.8545454545455" style="82" customWidth="1"/>
    <col min="17" max="17" width="62.2818181818182" style="82" hidden="1" customWidth="1"/>
    <col min="18" max="16384" width="62.2818181818182" style="82"/>
  </cols>
  <sheetData>
    <row r="1" customHeight="1" spans="10:16">
      <c r="J1" s="83">
        <v>0.2</v>
      </c>
      <c r="K1" s="83">
        <v>0.15</v>
      </c>
      <c r="L1" s="83">
        <v>0.05</v>
      </c>
      <c r="M1" s="83">
        <v>0.2</v>
      </c>
      <c r="N1" s="83">
        <v>0.05</v>
      </c>
      <c r="O1" s="83">
        <v>0.35</v>
      </c>
      <c r="P1" s="88">
        <f>SUM(J1:O1)</f>
        <v>1</v>
      </c>
    </row>
    <row r="2" s="80" customFormat="1" ht="39" spans="1:17">
      <c r="A2" s="84" t="s">
        <v>1</v>
      </c>
      <c r="B2" s="84" t="s">
        <v>498</v>
      </c>
      <c r="C2" s="84" t="s">
        <v>499</v>
      </c>
      <c r="D2" s="84" t="s">
        <v>2</v>
      </c>
      <c r="E2" s="84" t="s">
        <v>3</v>
      </c>
      <c r="F2" s="84" t="s">
        <v>302</v>
      </c>
      <c r="G2" s="84" t="s">
        <v>485</v>
      </c>
      <c r="H2" s="84" t="s">
        <v>500</v>
      </c>
      <c r="I2" s="84" t="s">
        <v>501</v>
      </c>
      <c r="J2" s="85" t="s">
        <v>502</v>
      </c>
      <c r="K2" s="85" t="s">
        <v>312</v>
      </c>
      <c r="L2" s="85" t="s">
        <v>503</v>
      </c>
      <c r="M2" s="85" t="s">
        <v>504</v>
      </c>
      <c r="N2" s="85" t="s">
        <v>505</v>
      </c>
      <c r="O2" s="85" t="s">
        <v>506</v>
      </c>
      <c r="P2" s="85" t="s">
        <v>507</v>
      </c>
      <c r="Q2" s="84" t="s">
        <v>508</v>
      </c>
    </row>
    <row r="3" ht="28.5" customHeight="1" spans="1:17">
      <c r="A3" s="86" t="s">
        <v>48</v>
      </c>
      <c r="B3" s="86"/>
      <c r="C3" s="10">
        <v>6</v>
      </c>
      <c r="D3" s="87">
        <v>9845</v>
      </c>
      <c r="E3" s="87" t="s">
        <v>34</v>
      </c>
      <c r="F3" s="87" t="s">
        <v>355</v>
      </c>
      <c r="G3" s="87">
        <v>10</v>
      </c>
      <c r="H3" s="10" t="s">
        <v>509</v>
      </c>
      <c r="I3" s="87" t="s">
        <v>12</v>
      </c>
      <c r="J3" s="87">
        <v>5</v>
      </c>
      <c r="K3" s="87">
        <v>1</v>
      </c>
      <c r="L3" s="87">
        <v>5</v>
      </c>
      <c r="M3" s="87">
        <v>5</v>
      </c>
      <c r="N3" s="87">
        <v>5</v>
      </c>
      <c r="O3" s="87">
        <v>5</v>
      </c>
      <c r="P3" s="87">
        <f t="shared" ref="P3:P37" si="0">SUM((J$1*$J3),(K$1*$K3),(L$1*$L3)*(M$1*$M3),(N$1*$N3),(O$1*$O3))*100</f>
        <v>340</v>
      </c>
      <c r="Q3" s="87" t="s">
        <v>510</v>
      </c>
    </row>
    <row r="4" ht="13" spans="1:17">
      <c r="A4" s="86" t="s">
        <v>54</v>
      </c>
      <c r="B4" s="86"/>
      <c r="C4" s="10" t="s">
        <v>511</v>
      </c>
      <c r="D4" s="87">
        <v>12829</v>
      </c>
      <c r="E4" s="87" t="s">
        <v>11</v>
      </c>
      <c r="F4" s="87" t="s">
        <v>364</v>
      </c>
      <c r="G4" s="87">
        <v>10</v>
      </c>
      <c r="H4" s="10"/>
      <c r="I4" s="87" t="s">
        <v>19</v>
      </c>
      <c r="J4" s="87">
        <v>5</v>
      </c>
      <c r="K4" s="87">
        <v>1</v>
      </c>
      <c r="L4" s="87">
        <v>5</v>
      </c>
      <c r="M4" s="87">
        <v>5</v>
      </c>
      <c r="N4" s="87">
        <v>5</v>
      </c>
      <c r="O4" s="87">
        <v>5</v>
      </c>
      <c r="P4" s="87">
        <f t="shared" si="0"/>
        <v>340</v>
      </c>
      <c r="Q4" s="87" t="s">
        <v>510</v>
      </c>
    </row>
    <row r="5" ht="13" spans="1:17">
      <c r="A5" s="86" t="s">
        <v>190</v>
      </c>
      <c r="B5" s="86"/>
      <c r="C5" s="10">
        <v>1</v>
      </c>
      <c r="D5" s="87">
        <f>9840+D37</f>
        <v>14999</v>
      </c>
      <c r="E5" s="87"/>
      <c r="F5" s="87"/>
      <c r="G5" s="87"/>
      <c r="H5" s="10"/>
      <c r="I5" s="87"/>
      <c r="J5" s="87">
        <v>5</v>
      </c>
      <c r="K5" s="87">
        <v>1</v>
      </c>
      <c r="L5" s="87">
        <v>5</v>
      </c>
      <c r="M5" s="87">
        <v>4</v>
      </c>
      <c r="N5" s="87">
        <v>5</v>
      </c>
      <c r="O5" s="87">
        <v>5</v>
      </c>
      <c r="P5" s="87">
        <f t="shared" si="0"/>
        <v>335</v>
      </c>
      <c r="Q5" s="87"/>
    </row>
    <row r="6" ht="13" spans="1:17">
      <c r="A6" s="86" t="s">
        <v>551</v>
      </c>
      <c r="B6" s="86"/>
      <c r="C6" s="10">
        <v>4</v>
      </c>
      <c r="D6" s="87">
        <f>150*3*6</f>
        <v>2700</v>
      </c>
      <c r="E6" s="87" t="s">
        <v>34</v>
      </c>
      <c r="F6" s="87" t="s">
        <v>513</v>
      </c>
      <c r="G6" s="87">
        <v>10</v>
      </c>
      <c r="H6" s="10"/>
      <c r="I6" s="87"/>
      <c r="J6" s="87">
        <v>5</v>
      </c>
      <c r="K6" s="87">
        <v>1</v>
      </c>
      <c r="L6" s="87">
        <v>5</v>
      </c>
      <c r="M6" s="87">
        <v>2</v>
      </c>
      <c r="N6" s="87">
        <v>5</v>
      </c>
      <c r="O6" s="87">
        <v>5</v>
      </c>
      <c r="P6" s="87">
        <f t="shared" si="0"/>
        <v>325</v>
      </c>
      <c r="Q6" s="87" t="s">
        <v>514</v>
      </c>
    </row>
    <row r="7" ht="17.1" customHeight="1" spans="1:18">
      <c r="A7" s="86" t="s">
        <v>46</v>
      </c>
      <c r="B7" s="86"/>
      <c r="C7" s="10">
        <v>6</v>
      </c>
      <c r="D7" s="87">
        <v>2981</v>
      </c>
      <c r="E7" s="87" t="s">
        <v>34</v>
      </c>
      <c r="F7" s="87" t="s">
        <v>318</v>
      </c>
      <c r="G7" s="87">
        <v>7</v>
      </c>
      <c r="H7" s="10" t="s">
        <v>515</v>
      </c>
      <c r="I7" s="87" t="s">
        <v>12</v>
      </c>
      <c r="J7" s="87">
        <v>5</v>
      </c>
      <c r="K7" s="87">
        <v>1</v>
      </c>
      <c r="L7" s="87">
        <v>5</v>
      </c>
      <c r="M7" s="87">
        <v>2</v>
      </c>
      <c r="N7" s="87">
        <v>5</v>
      </c>
      <c r="O7" s="87">
        <v>5</v>
      </c>
      <c r="P7" s="87">
        <f t="shared" si="0"/>
        <v>325</v>
      </c>
      <c r="Q7" s="87" t="s">
        <v>510</v>
      </c>
      <c r="R7" s="80" t="s">
        <v>516</v>
      </c>
    </row>
    <row r="8" ht="13" spans="1:17">
      <c r="A8" s="86" t="s">
        <v>292</v>
      </c>
      <c r="B8" s="86"/>
      <c r="C8" s="10">
        <v>3</v>
      </c>
      <c r="D8" s="87">
        <f>30*3*6</f>
        <v>540</v>
      </c>
      <c r="E8" s="87" t="s">
        <v>34</v>
      </c>
      <c r="F8" s="87" t="s">
        <v>513</v>
      </c>
      <c r="G8" s="87">
        <v>10</v>
      </c>
      <c r="H8" s="10"/>
      <c r="I8" s="87"/>
      <c r="J8" s="87">
        <v>5</v>
      </c>
      <c r="K8" s="87">
        <v>1</v>
      </c>
      <c r="L8" s="87">
        <v>5</v>
      </c>
      <c r="M8" s="87">
        <v>1</v>
      </c>
      <c r="N8" s="87">
        <v>5</v>
      </c>
      <c r="O8" s="87">
        <v>5</v>
      </c>
      <c r="P8" s="87">
        <f t="shared" si="0"/>
        <v>320</v>
      </c>
      <c r="Q8" s="87"/>
    </row>
    <row r="9" ht="26" hidden="1" spans="1:17">
      <c r="A9" s="89" t="s">
        <v>67</v>
      </c>
      <c r="B9" s="89" t="s">
        <v>518</v>
      </c>
      <c r="C9" s="10"/>
      <c r="D9" s="87">
        <v>111114</v>
      </c>
      <c r="E9" s="87" t="s">
        <v>34</v>
      </c>
      <c r="F9" s="87" t="s">
        <v>318</v>
      </c>
      <c r="G9" s="87">
        <v>10</v>
      </c>
      <c r="H9" s="10" t="s">
        <v>519</v>
      </c>
      <c r="I9" s="87" t="s">
        <v>12</v>
      </c>
      <c r="J9" s="87">
        <v>2</v>
      </c>
      <c r="K9" s="87">
        <v>4</v>
      </c>
      <c r="L9" s="87">
        <v>3</v>
      </c>
      <c r="M9" s="87">
        <v>5</v>
      </c>
      <c r="N9" s="87">
        <v>3</v>
      </c>
      <c r="O9" s="87">
        <v>5</v>
      </c>
      <c r="P9" s="87">
        <f t="shared" si="0"/>
        <v>305</v>
      </c>
      <c r="Q9" s="87"/>
    </row>
    <row r="10" ht="13" hidden="1" spans="1:17">
      <c r="A10" s="89" t="s">
        <v>74</v>
      </c>
      <c r="B10" s="86" t="s">
        <v>518</v>
      </c>
      <c r="C10" s="10"/>
      <c r="D10" s="87">
        <v>1931</v>
      </c>
      <c r="E10" s="87" t="s">
        <v>11</v>
      </c>
      <c r="F10" s="87" t="s">
        <v>364</v>
      </c>
      <c r="G10" s="87">
        <v>10</v>
      </c>
      <c r="H10" s="10" t="s">
        <v>520</v>
      </c>
      <c r="I10" s="87" t="s">
        <v>12</v>
      </c>
      <c r="J10" s="87">
        <v>3</v>
      </c>
      <c r="K10" s="87">
        <v>5</v>
      </c>
      <c r="L10" s="87">
        <v>1</v>
      </c>
      <c r="M10" s="87">
        <v>2</v>
      </c>
      <c r="N10" s="87">
        <v>1</v>
      </c>
      <c r="O10" s="87">
        <v>4</v>
      </c>
      <c r="P10" s="87">
        <f t="shared" si="0"/>
        <v>282</v>
      </c>
      <c r="Q10" s="87" t="s">
        <v>510</v>
      </c>
    </row>
    <row r="11" ht="13" hidden="1" spans="1:17">
      <c r="A11" s="89" t="s">
        <v>85</v>
      </c>
      <c r="B11" s="86" t="s">
        <v>521</v>
      </c>
      <c r="C11" s="10" t="s">
        <v>522</v>
      </c>
      <c r="D11" s="87">
        <v>2676</v>
      </c>
      <c r="E11" s="87" t="s">
        <v>11</v>
      </c>
      <c r="F11" s="87" t="s">
        <v>355</v>
      </c>
      <c r="G11" s="87">
        <v>10</v>
      </c>
      <c r="H11" s="10" t="s">
        <v>523</v>
      </c>
      <c r="I11" s="87" t="s">
        <v>12</v>
      </c>
      <c r="J11" s="87">
        <v>3</v>
      </c>
      <c r="K11" s="87">
        <v>4</v>
      </c>
      <c r="L11" s="87">
        <v>2</v>
      </c>
      <c r="M11" s="87">
        <v>3</v>
      </c>
      <c r="N11" s="87">
        <v>2</v>
      </c>
      <c r="O11" s="87">
        <v>4</v>
      </c>
      <c r="P11" s="87">
        <f t="shared" si="0"/>
        <v>276</v>
      </c>
      <c r="Q11" s="87" t="s">
        <v>510</v>
      </c>
    </row>
    <row r="12" ht="44.1" customHeight="1" spans="1:17">
      <c r="A12" s="86" t="s">
        <v>41</v>
      </c>
      <c r="B12" s="86"/>
      <c r="C12" s="10">
        <v>2</v>
      </c>
      <c r="D12" s="87">
        <v>8925</v>
      </c>
      <c r="E12" s="87" t="s">
        <v>34</v>
      </c>
      <c r="F12" s="87" t="s">
        <v>318</v>
      </c>
      <c r="G12" s="87">
        <v>25</v>
      </c>
      <c r="H12" s="10"/>
      <c r="I12" s="87" t="s">
        <v>19</v>
      </c>
      <c r="J12" s="87">
        <v>2</v>
      </c>
      <c r="K12" s="87">
        <v>4</v>
      </c>
      <c r="L12" s="87">
        <v>5</v>
      </c>
      <c r="M12" s="87">
        <v>4</v>
      </c>
      <c r="N12" s="87">
        <v>1</v>
      </c>
      <c r="O12" s="87">
        <v>4</v>
      </c>
      <c r="P12" s="87">
        <f t="shared" si="0"/>
        <v>265</v>
      </c>
      <c r="Q12" s="87" t="s">
        <v>510</v>
      </c>
    </row>
    <row r="13" ht="26" spans="1:17">
      <c r="A13" s="86" t="s">
        <v>45</v>
      </c>
      <c r="B13" s="86"/>
      <c r="C13" s="10">
        <v>2</v>
      </c>
      <c r="D13" s="87">
        <v>5854</v>
      </c>
      <c r="E13" s="87" t="s">
        <v>34</v>
      </c>
      <c r="F13" s="87" t="s">
        <v>318</v>
      </c>
      <c r="G13" s="87">
        <v>25</v>
      </c>
      <c r="H13" s="10"/>
      <c r="I13" s="87" t="s">
        <v>19</v>
      </c>
      <c r="J13" s="87">
        <v>2</v>
      </c>
      <c r="K13" s="87">
        <v>4</v>
      </c>
      <c r="L13" s="87">
        <v>5</v>
      </c>
      <c r="M13" s="87">
        <v>3</v>
      </c>
      <c r="N13" s="87">
        <v>1</v>
      </c>
      <c r="O13" s="87">
        <v>4</v>
      </c>
      <c r="P13" s="87">
        <f t="shared" si="0"/>
        <v>260</v>
      </c>
      <c r="Q13" s="87" t="s">
        <v>514</v>
      </c>
    </row>
    <row r="14" ht="13" spans="1:17">
      <c r="A14" s="86" t="s">
        <v>524</v>
      </c>
      <c r="B14" s="86"/>
      <c r="C14" s="10">
        <v>9</v>
      </c>
      <c r="D14" s="87">
        <v>45835</v>
      </c>
      <c r="E14" s="87" t="s">
        <v>11</v>
      </c>
      <c r="F14" s="87" t="s">
        <v>318</v>
      </c>
      <c r="G14" s="87">
        <v>10</v>
      </c>
      <c r="H14" s="10"/>
      <c r="I14" s="87" t="s">
        <v>19</v>
      </c>
      <c r="J14" s="87">
        <v>4</v>
      </c>
      <c r="K14" s="87">
        <v>1</v>
      </c>
      <c r="L14" s="87">
        <v>5</v>
      </c>
      <c r="M14" s="87">
        <v>5</v>
      </c>
      <c r="N14" s="87">
        <v>1</v>
      </c>
      <c r="O14" s="87">
        <v>3</v>
      </c>
      <c r="P14" s="87">
        <f t="shared" si="0"/>
        <v>230</v>
      </c>
      <c r="Q14" s="87" t="s">
        <v>525</v>
      </c>
    </row>
    <row r="15" ht="31.5" customHeight="1" spans="1:17">
      <c r="A15" s="86" t="s">
        <v>25</v>
      </c>
      <c r="B15" s="86" t="s">
        <v>526</v>
      </c>
      <c r="C15" s="10" t="s">
        <v>522</v>
      </c>
      <c r="D15" s="87">
        <v>6804</v>
      </c>
      <c r="E15" s="87" t="s">
        <v>11</v>
      </c>
      <c r="F15" s="87" t="s">
        <v>318</v>
      </c>
      <c r="G15" s="87">
        <v>10</v>
      </c>
      <c r="H15" s="10"/>
      <c r="I15" s="87" t="s">
        <v>19</v>
      </c>
      <c r="J15" s="87">
        <v>3</v>
      </c>
      <c r="K15" s="87">
        <v>3</v>
      </c>
      <c r="L15" s="87">
        <v>5</v>
      </c>
      <c r="M15" s="87">
        <v>3</v>
      </c>
      <c r="N15" s="87">
        <v>1</v>
      </c>
      <c r="O15" s="87">
        <v>3</v>
      </c>
      <c r="P15" s="87">
        <f t="shared" si="0"/>
        <v>230</v>
      </c>
      <c r="Q15" s="87" t="s">
        <v>525</v>
      </c>
    </row>
    <row r="16" ht="13" hidden="1" spans="1:17">
      <c r="A16" s="89" t="s">
        <v>79</v>
      </c>
      <c r="B16" s="86" t="s">
        <v>518</v>
      </c>
      <c r="C16" s="10"/>
      <c r="D16" s="87">
        <v>4037</v>
      </c>
      <c r="E16" s="87" t="s">
        <v>11</v>
      </c>
      <c r="F16" s="87" t="s">
        <v>318</v>
      </c>
      <c r="G16" s="87">
        <v>10</v>
      </c>
      <c r="H16" s="10" t="s">
        <v>527</v>
      </c>
      <c r="I16" s="87" t="s">
        <v>12</v>
      </c>
      <c r="J16" s="87">
        <v>1</v>
      </c>
      <c r="K16" s="87">
        <v>3</v>
      </c>
      <c r="L16" s="87">
        <v>5</v>
      </c>
      <c r="M16" s="87">
        <v>3</v>
      </c>
      <c r="N16" s="87">
        <v>1</v>
      </c>
      <c r="O16" s="87">
        <v>4</v>
      </c>
      <c r="P16" s="87">
        <f t="shared" si="0"/>
        <v>225</v>
      </c>
      <c r="Q16" s="87"/>
    </row>
    <row r="17" ht="13" hidden="1" spans="1:17">
      <c r="A17" s="89" t="s">
        <v>82</v>
      </c>
      <c r="B17" s="86" t="s">
        <v>528</v>
      </c>
      <c r="C17" s="10"/>
      <c r="D17" s="87">
        <v>4381</v>
      </c>
      <c r="E17" s="87" t="s">
        <v>11</v>
      </c>
      <c r="F17" s="87" t="s">
        <v>343</v>
      </c>
      <c r="G17" s="87">
        <v>10</v>
      </c>
      <c r="H17" s="10" t="s">
        <v>527</v>
      </c>
      <c r="I17" s="87" t="s">
        <v>12</v>
      </c>
      <c r="J17" s="87">
        <v>1</v>
      </c>
      <c r="K17" s="87">
        <v>3</v>
      </c>
      <c r="L17" s="87">
        <v>5</v>
      </c>
      <c r="M17" s="87">
        <v>3</v>
      </c>
      <c r="N17" s="87">
        <v>1</v>
      </c>
      <c r="O17" s="87">
        <v>4</v>
      </c>
      <c r="P17" s="87">
        <f t="shared" si="0"/>
        <v>225</v>
      </c>
      <c r="Q17" s="87" t="s">
        <v>529</v>
      </c>
    </row>
    <row r="18" ht="13" hidden="1" spans="1:17">
      <c r="A18" s="89" t="s">
        <v>83</v>
      </c>
      <c r="B18" s="86" t="s">
        <v>528</v>
      </c>
      <c r="C18" s="10"/>
      <c r="D18" s="87">
        <v>7125</v>
      </c>
      <c r="E18" s="87" t="s">
        <v>34</v>
      </c>
      <c r="F18" s="87" t="s">
        <v>364</v>
      </c>
      <c r="G18" s="87">
        <v>10</v>
      </c>
      <c r="H18" s="10" t="s">
        <v>530</v>
      </c>
      <c r="I18" s="87" t="s">
        <v>12</v>
      </c>
      <c r="J18" s="87">
        <v>1</v>
      </c>
      <c r="K18" s="87">
        <v>5</v>
      </c>
      <c r="L18" s="87">
        <v>1</v>
      </c>
      <c r="M18" s="87">
        <v>4</v>
      </c>
      <c r="N18" s="87">
        <v>3</v>
      </c>
      <c r="O18" s="87">
        <v>3</v>
      </c>
      <c r="P18" s="87">
        <f t="shared" si="0"/>
        <v>219</v>
      </c>
      <c r="Q18" s="87" t="s">
        <v>510</v>
      </c>
    </row>
    <row r="19" ht="14.5" spans="1:17">
      <c r="A19" s="90" t="s">
        <v>177</v>
      </c>
      <c r="B19" s="90" t="s">
        <v>531</v>
      </c>
      <c r="C19" s="10">
        <v>8</v>
      </c>
      <c r="D19" s="90">
        <v>3558</v>
      </c>
      <c r="E19" s="87"/>
      <c r="F19" s="87"/>
      <c r="G19" s="87"/>
      <c r="H19" s="10"/>
      <c r="I19" s="87"/>
      <c r="J19" s="87">
        <v>2</v>
      </c>
      <c r="K19" s="87">
        <v>5</v>
      </c>
      <c r="L19" s="87">
        <v>5</v>
      </c>
      <c r="M19" s="87">
        <v>3</v>
      </c>
      <c r="N19" s="87">
        <v>1</v>
      </c>
      <c r="O19" s="87">
        <v>2</v>
      </c>
      <c r="P19" s="87">
        <f t="shared" si="0"/>
        <v>205</v>
      </c>
      <c r="Q19" s="87" t="s">
        <v>514</v>
      </c>
    </row>
    <row r="20" ht="26" hidden="1" spans="1:17">
      <c r="A20" s="89" t="s">
        <v>72</v>
      </c>
      <c r="B20" s="86" t="s">
        <v>532</v>
      </c>
      <c r="C20" s="10"/>
      <c r="D20" s="87">
        <v>2013</v>
      </c>
      <c r="E20" s="87" t="s">
        <v>11</v>
      </c>
      <c r="F20" s="87" t="s">
        <v>491</v>
      </c>
      <c r="G20" s="87">
        <v>10</v>
      </c>
      <c r="H20" s="10" t="s">
        <v>533</v>
      </c>
      <c r="I20" s="87" t="s">
        <v>12</v>
      </c>
      <c r="J20" s="87">
        <v>4</v>
      </c>
      <c r="K20" s="87">
        <v>5</v>
      </c>
      <c r="L20" s="87">
        <v>5</v>
      </c>
      <c r="M20" s="87">
        <v>2</v>
      </c>
      <c r="N20" s="87">
        <v>5</v>
      </c>
      <c r="O20" s="87"/>
      <c r="P20" s="87">
        <f t="shared" si="0"/>
        <v>190</v>
      </c>
      <c r="Q20" s="87" t="s">
        <v>514</v>
      </c>
    </row>
    <row r="21" ht="13" spans="1:17">
      <c r="A21" s="86" t="s">
        <v>18</v>
      </c>
      <c r="B21" s="86"/>
      <c r="C21" s="10">
        <v>0</v>
      </c>
      <c r="D21" s="87">
        <v>7168</v>
      </c>
      <c r="E21" s="87" t="s">
        <v>11</v>
      </c>
      <c r="F21" s="87" t="s">
        <v>318</v>
      </c>
      <c r="G21" s="87">
        <v>10</v>
      </c>
      <c r="H21" s="10" t="s">
        <v>527</v>
      </c>
      <c r="I21" s="87" t="s">
        <v>12</v>
      </c>
      <c r="J21" s="87">
        <v>2</v>
      </c>
      <c r="K21" s="87">
        <v>4</v>
      </c>
      <c r="L21" s="87">
        <v>4</v>
      </c>
      <c r="M21" s="87">
        <v>3</v>
      </c>
      <c r="N21" s="87">
        <v>1</v>
      </c>
      <c r="O21" s="87">
        <v>1</v>
      </c>
      <c r="P21" s="87">
        <f t="shared" si="0"/>
        <v>152</v>
      </c>
      <c r="Q21" s="87" t="s">
        <v>514</v>
      </c>
    </row>
    <row r="22" ht="13" spans="1:17">
      <c r="A22" s="86" t="s">
        <v>76</v>
      </c>
      <c r="B22" s="86"/>
      <c r="C22" s="10">
        <v>7</v>
      </c>
      <c r="D22" s="87">
        <v>10287</v>
      </c>
      <c r="E22" s="87" t="s">
        <v>11</v>
      </c>
      <c r="F22" s="87" t="s">
        <v>364</v>
      </c>
      <c r="G22" s="87">
        <v>10</v>
      </c>
      <c r="H22" s="10" t="s">
        <v>534</v>
      </c>
      <c r="I22" s="87" t="s">
        <v>12</v>
      </c>
      <c r="J22" s="87">
        <v>1</v>
      </c>
      <c r="K22" s="87">
        <v>5</v>
      </c>
      <c r="L22" s="87">
        <v>5</v>
      </c>
      <c r="M22" s="87">
        <v>1</v>
      </c>
      <c r="N22" s="87">
        <v>1</v>
      </c>
      <c r="O22" s="87">
        <v>1</v>
      </c>
      <c r="P22" s="87">
        <f t="shared" si="0"/>
        <v>140</v>
      </c>
      <c r="Q22" s="87" t="s">
        <v>510</v>
      </c>
    </row>
    <row r="23" ht="26" hidden="1" spans="1:17">
      <c r="A23" s="89" t="s">
        <v>68</v>
      </c>
      <c r="B23" s="86" t="s">
        <v>535</v>
      </c>
      <c r="C23" s="10"/>
      <c r="D23" s="87">
        <v>1639</v>
      </c>
      <c r="E23" s="87" t="s">
        <v>11</v>
      </c>
      <c r="F23" s="87" t="s">
        <v>491</v>
      </c>
      <c r="G23" s="87">
        <v>10</v>
      </c>
      <c r="H23" s="10" t="s">
        <v>536</v>
      </c>
      <c r="I23" s="87" t="s">
        <v>12</v>
      </c>
      <c r="J23" s="87">
        <v>3</v>
      </c>
      <c r="K23" s="87">
        <v>3</v>
      </c>
      <c r="L23" s="87">
        <v>5</v>
      </c>
      <c r="M23" s="87">
        <v>2</v>
      </c>
      <c r="N23" s="87">
        <v>5</v>
      </c>
      <c r="O23" s="87"/>
      <c r="P23" s="87">
        <f t="shared" si="0"/>
        <v>140</v>
      </c>
      <c r="Q23" s="87" t="s">
        <v>510</v>
      </c>
    </row>
    <row r="24" ht="13" hidden="1" spans="1:17">
      <c r="A24" s="89" t="s">
        <v>50</v>
      </c>
      <c r="B24" s="89" t="s">
        <v>518</v>
      </c>
      <c r="C24" s="10"/>
      <c r="D24" s="87">
        <v>4243</v>
      </c>
      <c r="E24" s="87" t="s">
        <v>11</v>
      </c>
      <c r="F24" s="87" t="s">
        <v>364</v>
      </c>
      <c r="G24" s="87">
        <v>12</v>
      </c>
      <c r="H24" s="10" t="s">
        <v>537</v>
      </c>
      <c r="I24" s="87" t="s">
        <v>12</v>
      </c>
      <c r="J24" s="87">
        <v>1</v>
      </c>
      <c r="K24" s="87">
        <v>5</v>
      </c>
      <c r="L24" s="87">
        <v>5</v>
      </c>
      <c r="M24" s="87">
        <v>4</v>
      </c>
      <c r="N24" s="87">
        <v>5</v>
      </c>
      <c r="O24" s="87"/>
      <c r="P24" s="87">
        <f t="shared" si="0"/>
        <v>140</v>
      </c>
      <c r="Q24" s="87" t="s">
        <v>510</v>
      </c>
    </row>
    <row r="25" ht="13" spans="1:17">
      <c r="A25" s="86" t="s">
        <v>43</v>
      </c>
      <c r="B25" s="86"/>
      <c r="C25" s="10">
        <v>5</v>
      </c>
      <c r="D25" s="87">
        <v>3695</v>
      </c>
      <c r="E25" s="87" t="s">
        <v>34</v>
      </c>
      <c r="F25" s="87" t="s">
        <v>355</v>
      </c>
      <c r="G25" s="87">
        <v>8</v>
      </c>
      <c r="H25" s="10" t="s">
        <v>538</v>
      </c>
      <c r="I25" s="87" t="s">
        <v>12</v>
      </c>
      <c r="J25" s="87">
        <v>1</v>
      </c>
      <c r="K25" s="87">
        <v>4</v>
      </c>
      <c r="L25" s="87">
        <v>5</v>
      </c>
      <c r="M25" s="87">
        <v>2</v>
      </c>
      <c r="N25" s="87">
        <v>1</v>
      </c>
      <c r="O25" s="87">
        <v>1</v>
      </c>
      <c r="P25" s="87">
        <f t="shared" si="0"/>
        <v>130</v>
      </c>
      <c r="Q25" s="87" t="s">
        <v>525</v>
      </c>
    </row>
    <row r="26" ht="78" hidden="1" spans="1:17">
      <c r="A26" s="89" t="s">
        <v>70</v>
      </c>
      <c r="B26" s="86" t="s">
        <v>539</v>
      </c>
      <c r="C26" s="10" t="s">
        <v>540</v>
      </c>
      <c r="D26" s="87">
        <v>2025</v>
      </c>
      <c r="E26" s="87" t="s">
        <v>11</v>
      </c>
      <c r="F26" s="87" t="s">
        <v>364</v>
      </c>
      <c r="G26" s="87">
        <v>10</v>
      </c>
      <c r="H26" s="10" t="s">
        <v>541</v>
      </c>
      <c r="I26" s="87" t="s">
        <v>12</v>
      </c>
      <c r="J26" s="87">
        <v>1</v>
      </c>
      <c r="K26" s="87">
        <v>5</v>
      </c>
      <c r="L26" s="87">
        <v>5</v>
      </c>
      <c r="M26" s="87">
        <v>2</v>
      </c>
      <c r="N26" s="87">
        <v>5</v>
      </c>
      <c r="O26" s="87"/>
      <c r="P26" s="87">
        <f t="shared" si="0"/>
        <v>130</v>
      </c>
      <c r="Q26" s="87" t="s">
        <v>525</v>
      </c>
    </row>
    <row r="27" ht="13.5" hidden="1" customHeight="1" spans="1:17">
      <c r="A27" s="89" t="s">
        <v>84</v>
      </c>
      <c r="B27" s="86" t="s">
        <v>539</v>
      </c>
      <c r="C27" s="10" t="s">
        <v>540</v>
      </c>
      <c r="D27" s="87">
        <v>2192</v>
      </c>
      <c r="E27" s="87" t="s">
        <v>11</v>
      </c>
      <c r="F27" s="87" t="s">
        <v>318</v>
      </c>
      <c r="G27" s="87">
        <v>10</v>
      </c>
      <c r="H27" s="10" t="s">
        <v>542</v>
      </c>
      <c r="I27" s="87" t="s">
        <v>12</v>
      </c>
      <c r="J27" s="87">
        <v>2</v>
      </c>
      <c r="K27" s="87">
        <v>3</v>
      </c>
      <c r="L27" s="87">
        <v>1</v>
      </c>
      <c r="M27" s="87">
        <v>2</v>
      </c>
      <c r="N27" s="87">
        <v>1</v>
      </c>
      <c r="O27" s="87">
        <v>1</v>
      </c>
      <c r="P27" s="87">
        <f t="shared" si="0"/>
        <v>127</v>
      </c>
      <c r="Q27" s="87" t="s">
        <v>525</v>
      </c>
    </row>
    <row r="28" ht="52" hidden="1" spans="1:17">
      <c r="A28" s="89" t="s">
        <v>39</v>
      </c>
      <c r="B28" s="89" t="s">
        <v>543</v>
      </c>
      <c r="C28" s="10"/>
      <c r="D28" s="87">
        <v>5337</v>
      </c>
      <c r="E28" s="87" t="s">
        <v>11</v>
      </c>
      <c r="F28" s="87" t="s">
        <v>318</v>
      </c>
      <c r="G28" s="87">
        <v>5</v>
      </c>
      <c r="H28" s="10" t="s">
        <v>544</v>
      </c>
      <c r="I28" s="87" t="s">
        <v>12</v>
      </c>
      <c r="J28" s="87">
        <v>2</v>
      </c>
      <c r="K28" s="87">
        <v>2</v>
      </c>
      <c r="L28" s="87">
        <v>1</v>
      </c>
      <c r="M28" s="87">
        <v>1</v>
      </c>
      <c r="N28" s="87">
        <v>1</v>
      </c>
      <c r="O28" s="87">
        <v>1</v>
      </c>
      <c r="P28" s="87">
        <f t="shared" si="0"/>
        <v>111</v>
      </c>
      <c r="Q28" s="87" t="s">
        <v>525</v>
      </c>
    </row>
    <row r="29" ht="26" hidden="1" spans="1:17">
      <c r="A29" s="89" t="s">
        <v>545</v>
      </c>
      <c r="B29" s="86" t="s">
        <v>546</v>
      </c>
      <c r="C29" s="10">
        <v>0</v>
      </c>
      <c r="D29" s="87">
        <v>9247</v>
      </c>
      <c r="E29" s="87" t="s">
        <v>11</v>
      </c>
      <c r="F29" s="87" t="s">
        <v>318</v>
      </c>
      <c r="G29" s="87">
        <v>10</v>
      </c>
      <c r="H29" s="10"/>
      <c r="I29" s="87" t="s">
        <v>19</v>
      </c>
      <c r="J29" s="87"/>
      <c r="K29" s="87"/>
      <c r="L29" s="87"/>
      <c r="M29" s="87"/>
      <c r="N29" s="87"/>
      <c r="O29" s="87"/>
      <c r="P29" s="87">
        <f t="shared" si="0"/>
        <v>0</v>
      </c>
      <c r="Q29" s="87" t="s">
        <v>529</v>
      </c>
    </row>
    <row r="30" ht="13" hidden="1" spans="1:17">
      <c r="A30" s="89" t="s">
        <v>77</v>
      </c>
      <c r="B30" s="86" t="s">
        <v>539</v>
      </c>
      <c r="C30" s="10" t="s">
        <v>540</v>
      </c>
      <c r="D30" s="87">
        <v>1926</v>
      </c>
      <c r="E30" s="87" t="s">
        <v>11</v>
      </c>
      <c r="F30" s="87" t="s">
        <v>318</v>
      </c>
      <c r="G30" s="87">
        <v>10</v>
      </c>
      <c r="H30" s="10"/>
      <c r="I30" s="87" t="s">
        <v>19</v>
      </c>
      <c r="J30" s="87"/>
      <c r="K30" s="87"/>
      <c r="L30" s="87"/>
      <c r="M30" s="87"/>
      <c r="N30" s="87"/>
      <c r="O30" s="87"/>
      <c r="P30" s="87">
        <f t="shared" si="0"/>
        <v>0</v>
      </c>
      <c r="Q30" s="87" t="s">
        <v>529</v>
      </c>
    </row>
    <row r="31" ht="13" hidden="1" spans="1:17">
      <c r="A31" s="89" t="s">
        <v>57</v>
      </c>
      <c r="B31" s="89" t="s">
        <v>547</v>
      </c>
      <c r="C31" s="91"/>
      <c r="D31" s="87">
        <v>5000</v>
      </c>
      <c r="E31" s="87" t="s">
        <v>11</v>
      </c>
      <c r="F31" s="87" t="s">
        <v>491</v>
      </c>
      <c r="G31" s="87">
        <v>10</v>
      </c>
      <c r="H31" s="10"/>
      <c r="I31" s="87" t="s">
        <v>19</v>
      </c>
      <c r="J31" s="87"/>
      <c r="K31" s="87"/>
      <c r="L31" s="87"/>
      <c r="M31" s="87"/>
      <c r="N31" s="87"/>
      <c r="O31" s="87"/>
      <c r="P31" s="87">
        <f t="shared" si="0"/>
        <v>0</v>
      </c>
      <c r="Q31" s="87" t="s">
        <v>529</v>
      </c>
    </row>
    <row r="32" ht="26" hidden="1" spans="1:17">
      <c r="A32" s="89" t="s">
        <v>37</v>
      </c>
      <c r="B32" s="86" t="s">
        <v>548</v>
      </c>
      <c r="C32" s="10"/>
      <c r="D32" s="87">
        <v>14504</v>
      </c>
      <c r="E32" s="87" t="s">
        <v>11</v>
      </c>
      <c r="F32" s="87" t="s">
        <v>318</v>
      </c>
      <c r="G32" s="87">
        <v>10</v>
      </c>
      <c r="H32" s="10"/>
      <c r="I32" s="87" t="s">
        <v>19</v>
      </c>
      <c r="J32" s="87"/>
      <c r="K32" s="87"/>
      <c r="L32" s="87"/>
      <c r="M32" s="87"/>
      <c r="N32" s="87"/>
      <c r="O32" s="87"/>
      <c r="P32" s="87">
        <f t="shared" si="0"/>
        <v>0</v>
      </c>
      <c r="Q32" s="87" t="s">
        <v>529</v>
      </c>
    </row>
    <row r="33" ht="26" hidden="1" spans="1:17">
      <c r="A33" s="89" t="s">
        <v>33</v>
      </c>
      <c r="B33" s="89" t="s">
        <v>549</v>
      </c>
      <c r="C33" s="10"/>
      <c r="D33" s="87">
        <v>10119</v>
      </c>
      <c r="E33" s="87" t="s">
        <v>34</v>
      </c>
      <c r="F33" s="87" t="s">
        <v>318</v>
      </c>
      <c r="G33" s="87">
        <v>5</v>
      </c>
      <c r="H33" s="10"/>
      <c r="I33" s="87" t="s">
        <v>19</v>
      </c>
      <c r="J33" s="87"/>
      <c r="K33" s="87"/>
      <c r="L33" s="87"/>
      <c r="M33" s="87"/>
      <c r="N33" s="87"/>
      <c r="O33" s="87"/>
      <c r="P33" s="87">
        <f t="shared" si="0"/>
        <v>0</v>
      </c>
      <c r="Q33" s="87" t="s">
        <v>529</v>
      </c>
    </row>
    <row r="34" hidden="1" customHeight="1" spans="1:17">
      <c r="A34" s="89" t="s">
        <v>38</v>
      </c>
      <c r="B34" s="89" t="s">
        <v>518</v>
      </c>
      <c r="C34" s="10"/>
      <c r="D34" s="87">
        <v>7232</v>
      </c>
      <c r="E34" s="87" t="s">
        <v>34</v>
      </c>
      <c r="F34" s="87" t="s">
        <v>318</v>
      </c>
      <c r="G34" s="87">
        <v>15</v>
      </c>
      <c r="H34" s="10"/>
      <c r="I34" s="87" t="s">
        <v>19</v>
      </c>
      <c r="J34" s="87"/>
      <c r="K34" s="87"/>
      <c r="L34" s="87"/>
      <c r="M34" s="87">
        <v>5</v>
      </c>
      <c r="N34" s="87"/>
      <c r="O34" s="87"/>
      <c r="P34" s="87">
        <f t="shared" si="0"/>
        <v>0</v>
      </c>
      <c r="Q34" s="87" t="s">
        <v>529</v>
      </c>
    </row>
    <row r="35" hidden="1" customHeight="1" spans="1:17">
      <c r="A35" s="89" t="s">
        <v>52</v>
      </c>
      <c r="B35" s="89" t="s">
        <v>518</v>
      </c>
      <c r="C35" s="10"/>
      <c r="D35" s="87">
        <v>5228</v>
      </c>
      <c r="E35" s="87" t="s">
        <v>11</v>
      </c>
      <c r="F35" s="87" t="s">
        <v>318</v>
      </c>
      <c r="G35" s="87">
        <v>30</v>
      </c>
      <c r="H35" s="10"/>
      <c r="I35" s="87" t="s">
        <v>19</v>
      </c>
      <c r="J35" s="87"/>
      <c r="K35" s="87"/>
      <c r="L35" s="87"/>
      <c r="M35" s="87">
        <v>5</v>
      </c>
      <c r="N35" s="87"/>
      <c r="O35" s="87"/>
      <c r="P35" s="87">
        <f t="shared" si="0"/>
        <v>0</v>
      </c>
      <c r="Q35" s="87" t="s">
        <v>529</v>
      </c>
    </row>
    <row r="36" hidden="1" customHeight="1" spans="1:17">
      <c r="A36" s="89" t="s">
        <v>27</v>
      </c>
      <c r="B36" s="86" t="s">
        <v>528</v>
      </c>
      <c r="C36" s="10"/>
      <c r="D36" s="87">
        <v>5170</v>
      </c>
      <c r="E36" s="87" t="s">
        <v>11</v>
      </c>
      <c r="F36" s="87" t="s">
        <v>318</v>
      </c>
      <c r="G36" s="87">
        <v>10</v>
      </c>
      <c r="H36" s="10"/>
      <c r="I36" s="87" t="s">
        <v>19</v>
      </c>
      <c r="J36" s="87"/>
      <c r="K36" s="87"/>
      <c r="L36" s="87"/>
      <c r="M36" s="87"/>
      <c r="N36" s="87"/>
      <c r="O36" s="87"/>
      <c r="P36" s="87">
        <f t="shared" si="0"/>
        <v>0</v>
      </c>
      <c r="Q36" s="87" t="s">
        <v>529</v>
      </c>
    </row>
    <row r="37" hidden="1" customHeight="1" spans="1:17">
      <c r="A37" s="89" t="s">
        <v>30</v>
      </c>
      <c r="B37" s="86" t="s">
        <v>528</v>
      </c>
      <c r="C37" s="10"/>
      <c r="D37" s="87">
        <v>5159</v>
      </c>
      <c r="E37" s="87" t="s">
        <v>11</v>
      </c>
      <c r="F37" s="87" t="s">
        <v>343</v>
      </c>
      <c r="G37" s="87">
        <v>20</v>
      </c>
      <c r="H37" s="10"/>
      <c r="I37" s="87" t="s">
        <v>19</v>
      </c>
      <c r="J37" s="87"/>
      <c r="K37" s="87"/>
      <c r="L37" s="87"/>
      <c r="M37" s="87"/>
      <c r="N37" s="87"/>
      <c r="O37" s="87"/>
      <c r="P37" s="87">
        <f t="shared" si="0"/>
        <v>0</v>
      </c>
      <c r="Q37" s="87" t="s">
        <v>514</v>
      </c>
    </row>
    <row r="38" hidden="1" customHeight="1" spans="1:17">
      <c r="A38" s="92" t="s">
        <v>173</v>
      </c>
      <c r="B38" s="90" t="s">
        <v>550</v>
      </c>
      <c r="C38" s="10"/>
      <c r="D38" s="90">
        <v>6131</v>
      </c>
      <c r="E38" s="87"/>
      <c r="F38" s="87"/>
      <c r="G38" s="87"/>
      <c r="H38" s="10"/>
      <c r="I38" s="87"/>
      <c r="J38" s="87"/>
      <c r="K38" s="87"/>
      <c r="L38" s="87"/>
      <c r="M38" s="87"/>
      <c r="N38" s="87"/>
      <c r="O38" s="87"/>
      <c r="P38" s="87"/>
      <c r="Q38" s="87"/>
    </row>
    <row r="39" hidden="1" customHeight="1" spans="1:17">
      <c r="A39" s="92" t="s">
        <v>141</v>
      </c>
      <c r="B39" s="90" t="s">
        <v>528</v>
      </c>
      <c r="C39" s="10"/>
      <c r="D39" s="90">
        <v>8512</v>
      </c>
      <c r="E39" s="87"/>
      <c r="F39" s="87"/>
      <c r="G39" s="87"/>
      <c r="H39" s="10"/>
      <c r="I39" s="87"/>
      <c r="J39" s="87"/>
      <c r="K39" s="87"/>
      <c r="L39" s="87"/>
      <c r="M39" s="87"/>
      <c r="N39" s="87"/>
      <c r="O39" s="87"/>
      <c r="P39" s="87"/>
      <c r="Q39" s="87"/>
    </row>
    <row r="40" customHeight="1" spans="1:3">
      <c r="A40"/>
      <c r="B40"/>
      <c r="C40"/>
    </row>
    <row r="41" customHeight="1" spans="1:3">
      <c r="A41" s="93"/>
      <c r="B41" s="93"/>
      <c r="C41"/>
    </row>
  </sheetData>
  <autoFilter xmlns:etc="http://www.wps.cn/officeDocument/2017/etCustomData" ref="A2:R39" etc:filterBottomFollowUsedRange="0">
    <filterColumn colId="0">
      <colorFilter dxfId="54"/>
    </filterColumn>
    <extLst/>
  </autoFilter>
  <sortState ref="A3:P39">
    <sortCondition ref="P3:P39" descending="1"/>
    <sortCondition ref="C3:C39"/>
  </sortState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62.2818181818182" defaultRowHeight="12.75" customHeight="1"/>
  <cols>
    <col min="1" max="1" width="51" style="81" customWidth="1"/>
    <col min="2" max="2" width="14.4272727272727" style="82" customWidth="1"/>
    <col min="3" max="3" width="15.8545454545455" style="82" customWidth="1"/>
    <col min="4" max="4" width="16.2818181818182" style="82" customWidth="1"/>
    <col min="5" max="5" width="16" style="82" customWidth="1"/>
    <col min="6" max="6" width="24.7090909090909" style="80" customWidth="1"/>
    <col min="7" max="7" width="12.8545454545455" style="82" customWidth="1"/>
    <col min="8" max="15" width="11.8545454545455" style="82" customWidth="1"/>
    <col min="16" max="16384" width="62.2818181818182" style="82"/>
  </cols>
  <sheetData>
    <row r="1" customHeight="1" spans="8:15">
      <c r="H1" s="83">
        <v>0.2</v>
      </c>
      <c r="I1" s="83">
        <v>0.15</v>
      </c>
      <c r="J1" s="83">
        <v>0.05</v>
      </c>
      <c r="K1" s="83">
        <v>0.2</v>
      </c>
      <c r="L1" s="83">
        <v>0.05</v>
      </c>
      <c r="M1" s="83">
        <v>0.3</v>
      </c>
      <c r="N1" s="83">
        <v>0.05</v>
      </c>
      <c r="O1" s="88">
        <f>SUM(H1:N1)</f>
        <v>1</v>
      </c>
    </row>
    <row r="2" s="80" customFormat="1" ht="39" spans="1:16">
      <c r="A2" s="84" t="s">
        <v>1</v>
      </c>
      <c r="B2" s="84" t="s">
        <v>2</v>
      </c>
      <c r="C2" s="84" t="s">
        <v>3</v>
      </c>
      <c r="D2" s="84" t="s">
        <v>302</v>
      </c>
      <c r="E2" s="84" t="s">
        <v>485</v>
      </c>
      <c r="F2" s="84" t="s">
        <v>500</v>
      </c>
      <c r="G2" s="84" t="s">
        <v>501</v>
      </c>
      <c r="H2" s="85" t="s">
        <v>502</v>
      </c>
      <c r="I2" s="85" t="s">
        <v>312</v>
      </c>
      <c r="J2" s="85" t="s">
        <v>503</v>
      </c>
      <c r="K2" s="85" t="s">
        <v>504</v>
      </c>
      <c r="L2" s="85" t="s">
        <v>505</v>
      </c>
      <c r="M2" s="85" t="s">
        <v>506</v>
      </c>
      <c r="N2" s="85" t="s">
        <v>552</v>
      </c>
      <c r="O2" s="85" t="s">
        <v>507</v>
      </c>
      <c r="P2" s="84" t="s">
        <v>508</v>
      </c>
    </row>
    <row r="3" ht="13" spans="1:16">
      <c r="A3" s="86" t="s">
        <v>18</v>
      </c>
      <c r="B3" s="87">
        <v>7168</v>
      </c>
      <c r="C3" s="87" t="s">
        <v>11</v>
      </c>
      <c r="D3" s="87" t="s">
        <v>318</v>
      </c>
      <c r="E3" s="87">
        <v>10</v>
      </c>
      <c r="F3" s="10" t="s">
        <v>527</v>
      </c>
      <c r="G3" s="87" t="s">
        <v>12</v>
      </c>
      <c r="H3" s="87">
        <v>1</v>
      </c>
      <c r="I3" s="87">
        <v>2</v>
      </c>
      <c r="J3" s="87">
        <v>2</v>
      </c>
      <c r="K3" s="87">
        <v>1</v>
      </c>
      <c r="L3" s="87">
        <v>1</v>
      </c>
      <c r="M3" s="87">
        <v>1</v>
      </c>
      <c r="N3" s="87">
        <v>1</v>
      </c>
      <c r="O3" s="87">
        <f>SUM((H$1*$H3),(I$1*$I3),(J$1*$J3)*(K$1*$K3),(L$1*$L3),(M$1*$M3),(N$1*$N3))*100</f>
        <v>92</v>
      </c>
      <c r="P3" s="87" t="s">
        <v>510</v>
      </c>
    </row>
    <row r="4" ht="26" spans="1:16">
      <c r="A4" s="86" t="s">
        <v>48</v>
      </c>
      <c r="B4" s="87">
        <v>9845</v>
      </c>
      <c r="C4" s="87" t="s">
        <v>34</v>
      </c>
      <c r="D4" s="87" t="s">
        <v>355</v>
      </c>
      <c r="E4" s="87">
        <v>10</v>
      </c>
      <c r="F4" s="10" t="s">
        <v>509</v>
      </c>
      <c r="G4" s="87" t="s">
        <v>12</v>
      </c>
      <c r="H4" s="87">
        <v>2</v>
      </c>
      <c r="I4" s="87">
        <v>2</v>
      </c>
      <c r="J4" s="87">
        <v>1</v>
      </c>
      <c r="K4" s="87">
        <v>1</v>
      </c>
      <c r="L4" s="87">
        <v>2</v>
      </c>
      <c r="M4" s="87">
        <v>1</v>
      </c>
      <c r="N4" s="87">
        <v>1</v>
      </c>
      <c r="O4" s="87">
        <f t="shared" ref="O4:O33" si="0">SUM((H$1*$H4),(I$1*$I4),(J$1*$J4)*(K$1*$K4),(L$1*$L4),(M$1*$M4),(N$1*$N4))*100</f>
        <v>116</v>
      </c>
      <c r="P4" s="87" t="s">
        <v>510</v>
      </c>
    </row>
    <row r="5" ht="13" spans="1:16">
      <c r="A5" s="86" t="s">
        <v>43</v>
      </c>
      <c r="B5" s="87">
        <v>3695</v>
      </c>
      <c r="C5" s="87" t="s">
        <v>34</v>
      </c>
      <c r="D5" s="87" t="s">
        <v>355</v>
      </c>
      <c r="E5" s="87">
        <v>8</v>
      </c>
      <c r="F5" s="10" t="s">
        <v>538</v>
      </c>
      <c r="G5" s="87" t="s">
        <v>12</v>
      </c>
      <c r="H5" s="87">
        <v>1</v>
      </c>
      <c r="I5" s="87">
        <v>2</v>
      </c>
      <c r="J5" s="87">
        <v>1</v>
      </c>
      <c r="K5" s="87">
        <v>1</v>
      </c>
      <c r="L5" s="87">
        <v>2</v>
      </c>
      <c r="M5" s="87">
        <v>1</v>
      </c>
      <c r="N5" s="87">
        <v>1</v>
      </c>
      <c r="O5" s="87">
        <f t="shared" si="0"/>
        <v>96</v>
      </c>
      <c r="P5" s="87" t="s">
        <v>510</v>
      </c>
    </row>
    <row r="6" ht="26" spans="1:16">
      <c r="A6" s="86" t="s">
        <v>46</v>
      </c>
      <c r="B6" s="87">
        <v>2981</v>
      </c>
      <c r="C6" s="87" t="s">
        <v>34</v>
      </c>
      <c r="D6" s="87" t="s">
        <v>318</v>
      </c>
      <c r="E6" s="87">
        <v>7</v>
      </c>
      <c r="F6" s="10" t="s">
        <v>515</v>
      </c>
      <c r="G6" s="87" t="s">
        <v>12</v>
      </c>
      <c r="H6" s="87">
        <v>2</v>
      </c>
      <c r="I6" s="87">
        <v>2</v>
      </c>
      <c r="J6" s="87">
        <v>1</v>
      </c>
      <c r="K6" s="87">
        <v>1</v>
      </c>
      <c r="L6" s="87">
        <v>2</v>
      </c>
      <c r="M6" s="87">
        <v>1</v>
      </c>
      <c r="N6" s="87">
        <v>1</v>
      </c>
      <c r="O6" s="87">
        <f t="shared" si="0"/>
        <v>116</v>
      </c>
      <c r="P6" s="87" t="s">
        <v>510</v>
      </c>
    </row>
    <row r="7" ht="26" spans="1:17">
      <c r="A7" s="86" t="s">
        <v>54</v>
      </c>
      <c r="B7" s="87">
        <v>12829</v>
      </c>
      <c r="C7" s="87" t="s">
        <v>11</v>
      </c>
      <c r="D7" s="87" t="s">
        <v>364</v>
      </c>
      <c r="E7" s="87">
        <v>10</v>
      </c>
      <c r="F7" s="10"/>
      <c r="G7" s="87" t="s">
        <v>19</v>
      </c>
      <c r="H7" s="87">
        <v>2</v>
      </c>
      <c r="I7" s="87">
        <v>3</v>
      </c>
      <c r="J7" s="87">
        <v>1</v>
      </c>
      <c r="K7" s="87">
        <v>2</v>
      </c>
      <c r="L7" s="87">
        <v>3</v>
      </c>
      <c r="M7" s="87">
        <v>2</v>
      </c>
      <c r="N7" s="87">
        <v>1</v>
      </c>
      <c r="O7" s="87">
        <f t="shared" si="0"/>
        <v>167</v>
      </c>
      <c r="P7" s="87" t="s">
        <v>510</v>
      </c>
      <c r="Q7" s="80" t="s">
        <v>516</v>
      </c>
    </row>
    <row r="8" ht="13" spans="1:16">
      <c r="A8" s="86" t="s">
        <v>76</v>
      </c>
      <c r="B8" s="87">
        <v>10287</v>
      </c>
      <c r="C8" s="87" t="s">
        <v>11</v>
      </c>
      <c r="D8" s="87" t="s">
        <v>364</v>
      </c>
      <c r="E8" s="87">
        <v>10</v>
      </c>
      <c r="F8" s="10" t="s">
        <v>534</v>
      </c>
      <c r="G8" s="87" t="s">
        <v>12</v>
      </c>
      <c r="H8" s="87">
        <v>1</v>
      </c>
      <c r="I8" s="87">
        <v>1</v>
      </c>
      <c r="J8" s="87">
        <v>1</v>
      </c>
      <c r="K8" s="87">
        <v>1</v>
      </c>
      <c r="L8" s="87">
        <v>1</v>
      </c>
      <c r="M8" s="87">
        <v>1</v>
      </c>
      <c r="N8" s="87">
        <v>1</v>
      </c>
      <c r="O8" s="87">
        <f t="shared" si="0"/>
        <v>76</v>
      </c>
      <c r="P8" s="87" t="s">
        <v>514</v>
      </c>
    </row>
    <row r="9" ht="13" spans="1:16">
      <c r="A9" s="86" t="s">
        <v>81</v>
      </c>
      <c r="B9" s="87">
        <v>45835</v>
      </c>
      <c r="C9" s="87" t="s">
        <v>11</v>
      </c>
      <c r="D9" s="87" t="s">
        <v>318</v>
      </c>
      <c r="E9" s="87">
        <v>10</v>
      </c>
      <c r="F9" s="10"/>
      <c r="G9" s="87" t="s">
        <v>19</v>
      </c>
      <c r="H9" s="87"/>
      <c r="I9" s="87"/>
      <c r="J9" s="87"/>
      <c r="K9" s="87"/>
      <c r="L9" s="87"/>
      <c r="M9" s="87"/>
      <c r="N9" s="87"/>
      <c r="O9" s="87">
        <f t="shared" si="0"/>
        <v>0</v>
      </c>
      <c r="P9" s="87" t="s">
        <v>514</v>
      </c>
    </row>
    <row r="10" ht="13" spans="1:16">
      <c r="A10" s="86" t="s">
        <v>57</v>
      </c>
      <c r="B10" s="87">
        <v>5000</v>
      </c>
      <c r="C10" s="87" t="s">
        <v>11</v>
      </c>
      <c r="D10" s="87" t="s">
        <v>491</v>
      </c>
      <c r="E10" s="87">
        <v>10</v>
      </c>
      <c r="F10" s="10"/>
      <c r="G10" s="87" t="s">
        <v>19</v>
      </c>
      <c r="H10" s="87"/>
      <c r="I10" s="87"/>
      <c r="J10" s="87"/>
      <c r="K10" s="87"/>
      <c r="L10" s="87"/>
      <c r="M10" s="87"/>
      <c r="N10" s="87"/>
      <c r="O10" s="87">
        <f t="shared" si="0"/>
        <v>0</v>
      </c>
      <c r="P10" s="87" t="s">
        <v>514</v>
      </c>
    </row>
    <row r="11" ht="26" spans="1:16">
      <c r="A11" s="86" t="s">
        <v>67</v>
      </c>
      <c r="B11" s="87">
        <v>111114</v>
      </c>
      <c r="C11" s="87" t="s">
        <v>34</v>
      </c>
      <c r="D11" s="87" t="s">
        <v>318</v>
      </c>
      <c r="E11" s="87">
        <v>10</v>
      </c>
      <c r="F11" s="10" t="s">
        <v>519</v>
      </c>
      <c r="G11" s="87" t="s">
        <v>12</v>
      </c>
      <c r="H11" s="87">
        <v>2</v>
      </c>
      <c r="I11" s="87">
        <v>4</v>
      </c>
      <c r="J11" s="87">
        <v>3</v>
      </c>
      <c r="K11" s="87">
        <v>5</v>
      </c>
      <c r="L11" s="87">
        <v>3</v>
      </c>
      <c r="M11" s="87">
        <v>5</v>
      </c>
      <c r="N11" s="87">
        <v>4</v>
      </c>
      <c r="O11" s="87">
        <f t="shared" si="0"/>
        <v>300</v>
      </c>
      <c r="P11" s="87" t="s">
        <v>514</v>
      </c>
    </row>
    <row r="12" ht="13" spans="1:16">
      <c r="A12" s="86" t="s">
        <v>41</v>
      </c>
      <c r="B12" s="87">
        <v>8925</v>
      </c>
      <c r="C12" s="87" t="s">
        <v>34</v>
      </c>
      <c r="D12" s="87" t="s">
        <v>318</v>
      </c>
      <c r="E12" s="87">
        <v>25</v>
      </c>
      <c r="F12" s="10"/>
      <c r="G12" s="87" t="s">
        <v>19</v>
      </c>
      <c r="H12" s="87"/>
      <c r="I12" s="87"/>
      <c r="J12" s="87"/>
      <c r="K12" s="87"/>
      <c r="L12" s="87"/>
      <c r="M12" s="87"/>
      <c r="N12" s="87"/>
      <c r="O12" s="87">
        <f t="shared" si="0"/>
        <v>0</v>
      </c>
      <c r="P12" s="87" t="s">
        <v>514</v>
      </c>
    </row>
    <row r="13" ht="26" spans="1:16">
      <c r="A13" s="86" t="s">
        <v>45</v>
      </c>
      <c r="B13" s="87">
        <v>5854</v>
      </c>
      <c r="C13" s="87" t="s">
        <v>34</v>
      </c>
      <c r="D13" s="87" t="s">
        <v>318</v>
      </c>
      <c r="E13" s="87">
        <v>25</v>
      </c>
      <c r="F13" s="10"/>
      <c r="G13" s="87" t="s">
        <v>19</v>
      </c>
      <c r="H13" s="87"/>
      <c r="I13" s="87"/>
      <c r="J13" s="87"/>
      <c r="K13" s="87"/>
      <c r="L13" s="87"/>
      <c r="M13" s="87"/>
      <c r="N13" s="87"/>
      <c r="O13" s="87">
        <f t="shared" si="0"/>
        <v>0</v>
      </c>
      <c r="P13" s="87" t="s">
        <v>510</v>
      </c>
    </row>
    <row r="14" ht="26" spans="1:16">
      <c r="A14" s="86" t="s">
        <v>86</v>
      </c>
      <c r="B14" s="87">
        <v>9247</v>
      </c>
      <c r="C14" s="87" t="s">
        <v>11</v>
      </c>
      <c r="D14" s="87" t="s">
        <v>318</v>
      </c>
      <c r="E14" s="87">
        <v>10</v>
      </c>
      <c r="F14" s="10"/>
      <c r="G14" s="87" t="s">
        <v>19</v>
      </c>
      <c r="H14" s="87"/>
      <c r="I14" s="87"/>
      <c r="J14" s="87"/>
      <c r="K14" s="87"/>
      <c r="L14" s="87"/>
      <c r="M14" s="87"/>
      <c r="N14" s="87"/>
      <c r="O14" s="87">
        <f t="shared" si="0"/>
        <v>0</v>
      </c>
      <c r="P14" s="87" t="s">
        <v>510</v>
      </c>
    </row>
    <row r="15" ht="62.25" customHeight="1" spans="1:16">
      <c r="A15" s="86" t="s">
        <v>39</v>
      </c>
      <c r="B15" s="87">
        <v>5337</v>
      </c>
      <c r="C15" s="87" t="s">
        <v>11</v>
      </c>
      <c r="D15" s="87" t="s">
        <v>318</v>
      </c>
      <c r="E15" s="87">
        <v>5</v>
      </c>
      <c r="F15" s="10" t="s">
        <v>544</v>
      </c>
      <c r="G15" s="87" t="s">
        <v>12</v>
      </c>
      <c r="H15" s="87">
        <v>2</v>
      </c>
      <c r="I15" s="87">
        <v>2</v>
      </c>
      <c r="J15" s="87">
        <v>1</v>
      </c>
      <c r="K15" s="87">
        <v>1</v>
      </c>
      <c r="L15" s="87">
        <v>1</v>
      </c>
      <c r="M15" s="87">
        <v>1</v>
      </c>
      <c r="N15" s="87">
        <v>1</v>
      </c>
      <c r="O15" s="87">
        <f t="shared" si="0"/>
        <v>111</v>
      </c>
      <c r="P15" s="87" t="s">
        <v>510</v>
      </c>
    </row>
    <row r="16" ht="13" spans="1:16">
      <c r="A16" s="86" t="s">
        <v>37</v>
      </c>
      <c r="B16" s="87">
        <v>14504</v>
      </c>
      <c r="C16" s="87" t="s">
        <v>34</v>
      </c>
      <c r="D16" s="87" t="s">
        <v>318</v>
      </c>
      <c r="E16" s="87">
        <v>10</v>
      </c>
      <c r="F16" s="10"/>
      <c r="G16" s="87" t="s">
        <v>19</v>
      </c>
      <c r="H16" s="87"/>
      <c r="I16" s="87"/>
      <c r="J16" s="87"/>
      <c r="K16" s="87"/>
      <c r="L16" s="87"/>
      <c r="M16" s="87"/>
      <c r="N16" s="87"/>
      <c r="O16" s="87">
        <f t="shared" si="0"/>
        <v>0</v>
      </c>
      <c r="P16" s="87" t="s">
        <v>510</v>
      </c>
    </row>
    <row r="17" ht="26" spans="1:16">
      <c r="A17" s="86" t="s">
        <v>33</v>
      </c>
      <c r="B17" s="87">
        <v>10119</v>
      </c>
      <c r="C17" s="87" t="s">
        <v>34</v>
      </c>
      <c r="D17" s="87" t="s">
        <v>318</v>
      </c>
      <c r="E17" s="87">
        <v>5</v>
      </c>
      <c r="F17" s="10"/>
      <c r="G17" s="87" t="s">
        <v>19</v>
      </c>
      <c r="H17" s="87"/>
      <c r="I17" s="87"/>
      <c r="J17" s="87"/>
      <c r="K17" s="87"/>
      <c r="L17" s="87"/>
      <c r="M17" s="87"/>
      <c r="N17" s="87"/>
      <c r="O17" s="87">
        <f t="shared" si="0"/>
        <v>0</v>
      </c>
      <c r="P17" s="87" t="s">
        <v>510</v>
      </c>
    </row>
    <row r="18" ht="13" spans="1:16">
      <c r="A18" s="86" t="s">
        <v>38</v>
      </c>
      <c r="B18" s="87">
        <v>7232</v>
      </c>
      <c r="C18" s="87" t="s">
        <v>34</v>
      </c>
      <c r="D18" s="87" t="s">
        <v>318</v>
      </c>
      <c r="E18" s="87">
        <v>15</v>
      </c>
      <c r="F18" s="10"/>
      <c r="G18" s="87" t="s">
        <v>19</v>
      </c>
      <c r="H18" s="87"/>
      <c r="I18" s="87"/>
      <c r="J18" s="87"/>
      <c r="K18" s="87">
        <v>5</v>
      </c>
      <c r="L18" s="87"/>
      <c r="M18" s="87"/>
      <c r="N18" s="87"/>
      <c r="O18" s="87">
        <f t="shared" si="0"/>
        <v>0</v>
      </c>
      <c r="P18" s="87" t="s">
        <v>525</v>
      </c>
    </row>
    <row r="19" ht="13" spans="1:16">
      <c r="A19" s="86" t="s">
        <v>50</v>
      </c>
      <c r="B19" s="87">
        <v>4243</v>
      </c>
      <c r="C19" s="87" t="s">
        <v>11</v>
      </c>
      <c r="D19" s="87" t="s">
        <v>364</v>
      </c>
      <c r="E19" s="87">
        <v>12</v>
      </c>
      <c r="F19" s="10" t="s">
        <v>537</v>
      </c>
      <c r="G19" s="87" t="s">
        <v>12</v>
      </c>
      <c r="H19" s="87">
        <v>1</v>
      </c>
      <c r="I19" s="87">
        <v>5</v>
      </c>
      <c r="J19" s="87">
        <v>5</v>
      </c>
      <c r="K19" s="87">
        <v>4</v>
      </c>
      <c r="L19" s="87">
        <v>5</v>
      </c>
      <c r="M19" s="87"/>
      <c r="N19" s="87"/>
      <c r="O19" s="87">
        <f t="shared" si="0"/>
        <v>140</v>
      </c>
      <c r="P19" s="87" t="s">
        <v>525</v>
      </c>
    </row>
    <row r="20" ht="39" spans="1:16">
      <c r="A20" s="86" t="s">
        <v>52</v>
      </c>
      <c r="B20" s="87">
        <v>5228</v>
      </c>
      <c r="C20" s="87" t="s">
        <v>11</v>
      </c>
      <c r="D20" s="87" t="s">
        <v>318</v>
      </c>
      <c r="E20" s="87">
        <v>30</v>
      </c>
      <c r="F20" s="10"/>
      <c r="G20" s="87" t="s">
        <v>19</v>
      </c>
      <c r="H20" s="87"/>
      <c r="I20" s="87"/>
      <c r="J20" s="87"/>
      <c r="K20" s="87">
        <v>5</v>
      </c>
      <c r="L20" s="87"/>
      <c r="M20" s="87"/>
      <c r="N20" s="87"/>
      <c r="O20" s="87">
        <f t="shared" si="0"/>
        <v>0</v>
      </c>
      <c r="P20" s="87" t="s">
        <v>525</v>
      </c>
    </row>
    <row r="21" ht="26" spans="1:16">
      <c r="A21" s="86" t="s">
        <v>68</v>
      </c>
      <c r="B21" s="87">
        <v>1639</v>
      </c>
      <c r="C21" s="87" t="s">
        <v>11</v>
      </c>
      <c r="D21" s="87" t="s">
        <v>491</v>
      </c>
      <c r="E21" s="87">
        <v>10</v>
      </c>
      <c r="F21" s="10" t="s">
        <v>536</v>
      </c>
      <c r="G21" s="87" t="s">
        <v>12</v>
      </c>
      <c r="H21" s="87">
        <v>3</v>
      </c>
      <c r="I21" s="87">
        <v>3</v>
      </c>
      <c r="J21" s="87">
        <v>5</v>
      </c>
      <c r="K21" s="87">
        <v>2</v>
      </c>
      <c r="L21" s="87">
        <v>5</v>
      </c>
      <c r="M21" s="87"/>
      <c r="N21" s="87"/>
      <c r="O21" s="87">
        <f t="shared" si="0"/>
        <v>140</v>
      </c>
      <c r="P21" s="87" t="s">
        <v>525</v>
      </c>
    </row>
    <row r="22" ht="78" spans="1:16">
      <c r="A22" s="86" t="s">
        <v>70</v>
      </c>
      <c r="B22" s="87">
        <v>2025</v>
      </c>
      <c r="C22" s="87" t="s">
        <v>11</v>
      </c>
      <c r="D22" s="87" t="s">
        <v>364</v>
      </c>
      <c r="E22" s="87">
        <v>10</v>
      </c>
      <c r="F22" s="10" t="s">
        <v>541</v>
      </c>
      <c r="G22" s="87" t="s">
        <v>12</v>
      </c>
      <c r="H22" s="87">
        <v>1</v>
      </c>
      <c r="I22" s="87">
        <v>5</v>
      </c>
      <c r="J22" s="87">
        <v>5</v>
      </c>
      <c r="K22" s="87">
        <v>2</v>
      </c>
      <c r="L22" s="87">
        <v>5</v>
      </c>
      <c r="M22" s="87"/>
      <c r="N22" s="87"/>
      <c r="O22" s="87">
        <f t="shared" si="0"/>
        <v>130</v>
      </c>
      <c r="P22" s="87" t="s">
        <v>525</v>
      </c>
    </row>
    <row r="23" ht="26" spans="1:16">
      <c r="A23" s="86" t="s">
        <v>72</v>
      </c>
      <c r="B23" s="87">
        <v>2013</v>
      </c>
      <c r="C23" s="87" t="s">
        <v>11</v>
      </c>
      <c r="D23" s="87" t="s">
        <v>491</v>
      </c>
      <c r="E23" s="87">
        <v>10</v>
      </c>
      <c r="F23" s="10" t="s">
        <v>533</v>
      </c>
      <c r="G23" s="87" t="s">
        <v>12</v>
      </c>
      <c r="H23" s="87">
        <v>4</v>
      </c>
      <c r="I23" s="87">
        <v>5</v>
      </c>
      <c r="J23" s="87">
        <v>5</v>
      </c>
      <c r="K23" s="87">
        <v>2</v>
      </c>
      <c r="L23" s="87">
        <v>5</v>
      </c>
      <c r="M23" s="87"/>
      <c r="N23" s="87"/>
      <c r="O23" s="87">
        <f t="shared" si="0"/>
        <v>190</v>
      </c>
      <c r="P23" s="87" t="s">
        <v>525</v>
      </c>
    </row>
    <row r="24" ht="13" spans="1:16">
      <c r="A24" s="86" t="s">
        <v>74</v>
      </c>
      <c r="B24" s="87">
        <v>1931</v>
      </c>
      <c r="C24" s="87" t="s">
        <v>11</v>
      </c>
      <c r="D24" s="87" t="s">
        <v>364</v>
      </c>
      <c r="E24" s="87">
        <v>10</v>
      </c>
      <c r="F24" s="10" t="s">
        <v>520</v>
      </c>
      <c r="G24" s="87" t="s">
        <v>12</v>
      </c>
      <c r="H24" s="87">
        <v>3</v>
      </c>
      <c r="I24" s="87">
        <v>5</v>
      </c>
      <c r="J24" s="87">
        <v>1</v>
      </c>
      <c r="K24" s="87">
        <v>2</v>
      </c>
      <c r="L24" s="87">
        <v>1</v>
      </c>
      <c r="M24" s="87">
        <v>4</v>
      </c>
      <c r="N24" s="87">
        <v>5</v>
      </c>
      <c r="O24" s="87">
        <f t="shared" si="0"/>
        <v>287</v>
      </c>
      <c r="P24" s="87" t="s">
        <v>529</v>
      </c>
    </row>
    <row r="25" ht="13" spans="1:16">
      <c r="A25" s="86" t="s">
        <v>25</v>
      </c>
      <c r="B25" s="87">
        <v>6804</v>
      </c>
      <c r="C25" s="87" t="s">
        <v>11</v>
      </c>
      <c r="D25" s="87" t="s">
        <v>318</v>
      </c>
      <c r="E25" s="87">
        <v>10</v>
      </c>
      <c r="F25" s="10"/>
      <c r="G25" s="87" t="s">
        <v>19</v>
      </c>
      <c r="H25" s="87"/>
      <c r="I25" s="87"/>
      <c r="J25" s="87"/>
      <c r="K25" s="87"/>
      <c r="L25" s="87"/>
      <c r="M25" s="87"/>
      <c r="N25" s="87"/>
      <c r="O25" s="87">
        <f t="shared" si="0"/>
        <v>0</v>
      </c>
      <c r="P25" s="87" t="s">
        <v>529</v>
      </c>
    </row>
    <row r="26" ht="13" spans="1:16">
      <c r="A26" s="86" t="s">
        <v>79</v>
      </c>
      <c r="B26" s="87">
        <v>4037</v>
      </c>
      <c r="C26" s="87" t="s">
        <v>11</v>
      </c>
      <c r="D26" s="87" t="s">
        <v>318</v>
      </c>
      <c r="E26" s="87">
        <v>10</v>
      </c>
      <c r="F26" s="10" t="s">
        <v>527</v>
      </c>
      <c r="G26" s="87" t="s">
        <v>12</v>
      </c>
      <c r="H26" s="87">
        <v>1</v>
      </c>
      <c r="I26" s="87">
        <v>3</v>
      </c>
      <c r="J26" s="87">
        <v>5</v>
      </c>
      <c r="K26" s="87">
        <v>3</v>
      </c>
      <c r="L26" s="87">
        <v>1</v>
      </c>
      <c r="M26" s="87">
        <v>4</v>
      </c>
      <c r="N26" s="87">
        <v>3</v>
      </c>
      <c r="O26" s="87">
        <f t="shared" si="0"/>
        <v>220</v>
      </c>
      <c r="P26" s="87" t="s">
        <v>529</v>
      </c>
    </row>
    <row r="27" ht="13" spans="1:16">
      <c r="A27" s="86" t="s">
        <v>77</v>
      </c>
      <c r="B27" s="87">
        <v>1926</v>
      </c>
      <c r="C27" s="87" t="s">
        <v>11</v>
      </c>
      <c r="D27" s="87" t="s">
        <v>318</v>
      </c>
      <c r="E27" s="87">
        <v>10</v>
      </c>
      <c r="F27" s="10"/>
      <c r="G27" s="87" t="s">
        <v>19</v>
      </c>
      <c r="H27" s="87"/>
      <c r="I27" s="87"/>
      <c r="J27" s="87"/>
      <c r="K27" s="87"/>
      <c r="L27" s="87"/>
      <c r="M27" s="87"/>
      <c r="N27" s="87"/>
      <c r="O27" s="87">
        <f t="shared" si="0"/>
        <v>0</v>
      </c>
      <c r="P27" s="87" t="s">
        <v>529</v>
      </c>
    </row>
    <row r="28" ht="13" spans="1:16">
      <c r="A28" s="86" t="s">
        <v>82</v>
      </c>
      <c r="B28" s="87">
        <v>4381</v>
      </c>
      <c r="C28" s="87" t="s">
        <v>11</v>
      </c>
      <c r="D28" s="87" t="s">
        <v>343</v>
      </c>
      <c r="E28" s="87">
        <v>10</v>
      </c>
      <c r="F28" s="10" t="s">
        <v>527</v>
      </c>
      <c r="G28" s="87" t="s">
        <v>12</v>
      </c>
      <c r="H28" s="87">
        <v>1</v>
      </c>
      <c r="I28" s="87">
        <v>3</v>
      </c>
      <c r="J28" s="87">
        <v>5</v>
      </c>
      <c r="K28" s="87">
        <v>3</v>
      </c>
      <c r="L28" s="87">
        <v>1</v>
      </c>
      <c r="M28" s="87">
        <v>4</v>
      </c>
      <c r="N28" s="87">
        <v>3</v>
      </c>
      <c r="O28" s="87">
        <f t="shared" si="0"/>
        <v>220</v>
      </c>
      <c r="P28" s="87" t="s">
        <v>529</v>
      </c>
    </row>
    <row r="29" ht="13" spans="1:16">
      <c r="A29" s="86" t="s">
        <v>83</v>
      </c>
      <c r="B29" s="87">
        <v>7125</v>
      </c>
      <c r="C29" s="87" t="s">
        <v>34</v>
      </c>
      <c r="D29" s="87" t="s">
        <v>364</v>
      </c>
      <c r="E29" s="87">
        <v>10</v>
      </c>
      <c r="F29" s="10" t="s">
        <v>530</v>
      </c>
      <c r="G29" s="87" t="s">
        <v>12</v>
      </c>
      <c r="H29" s="87">
        <v>1</v>
      </c>
      <c r="I29" s="87">
        <v>5</v>
      </c>
      <c r="J29" s="87">
        <v>1</v>
      </c>
      <c r="K29" s="87">
        <v>4</v>
      </c>
      <c r="L29" s="87">
        <v>3</v>
      </c>
      <c r="M29" s="87">
        <v>3</v>
      </c>
      <c r="N29" s="87">
        <v>5</v>
      </c>
      <c r="O29" s="87">
        <f t="shared" si="0"/>
        <v>229</v>
      </c>
      <c r="P29" s="87" t="s">
        <v>529</v>
      </c>
    </row>
    <row r="30" ht="13" spans="1:16">
      <c r="A30" s="86" t="s">
        <v>27</v>
      </c>
      <c r="B30" s="87">
        <v>5170</v>
      </c>
      <c r="C30" s="87" t="s">
        <v>11</v>
      </c>
      <c r="D30" s="87" t="s">
        <v>318</v>
      </c>
      <c r="E30" s="87">
        <v>10</v>
      </c>
      <c r="F30" s="10"/>
      <c r="G30" s="87" t="s">
        <v>19</v>
      </c>
      <c r="H30" s="87"/>
      <c r="I30" s="87"/>
      <c r="J30" s="87"/>
      <c r="K30" s="87"/>
      <c r="L30" s="87"/>
      <c r="M30" s="87"/>
      <c r="N30" s="87"/>
      <c r="O30" s="87">
        <f t="shared" si="0"/>
        <v>0</v>
      </c>
      <c r="P30" s="87" t="s">
        <v>529</v>
      </c>
    </row>
    <row r="31" ht="13" spans="1:16">
      <c r="A31" s="86" t="s">
        <v>30</v>
      </c>
      <c r="B31" s="87">
        <v>5159</v>
      </c>
      <c r="C31" s="87" t="s">
        <v>11</v>
      </c>
      <c r="D31" s="87" t="s">
        <v>343</v>
      </c>
      <c r="E31" s="87">
        <v>20</v>
      </c>
      <c r="F31" s="10"/>
      <c r="G31" s="87" t="s">
        <v>19</v>
      </c>
      <c r="H31" s="87"/>
      <c r="I31" s="87"/>
      <c r="J31" s="87"/>
      <c r="K31" s="87"/>
      <c r="L31" s="87"/>
      <c r="M31" s="87"/>
      <c r="N31" s="87"/>
      <c r="O31" s="87">
        <f t="shared" si="0"/>
        <v>0</v>
      </c>
      <c r="P31" s="87" t="s">
        <v>529</v>
      </c>
    </row>
    <row r="32" ht="39" spans="1:16">
      <c r="A32" s="86" t="s">
        <v>84</v>
      </c>
      <c r="B32" s="87">
        <v>2192</v>
      </c>
      <c r="C32" s="87" t="s">
        <v>11</v>
      </c>
      <c r="D32" s="87" t="s">
        <v>318</v>
      </c>
      <c r="E32" s="87">
        <v>10</v>
      </c>
      <c r="F32" s="10" t="s">
        <v>542</v>
      </c>
      <c r="G32" s="87" t="s">
        <v>12</v>
      </c>
      <c r="H32" s="87">
        <v>2</v>
      </c>
      <c r="I32" s="87">
        <v>3</v>
      </c>
      <c r="J32" s="87">
        <v>1</v>
      </c>
      <c r="K32" s="87">
        <v>2</v>
      </c>
      <c r="L32" s="87">
        <v>1</v>
      </c>
      <c r="M32" s="87">
        <v>1</v>
      </c>
      <c r="N32" s="87">
        <v>1</v>
      </c>
      <c r="O32" s="87">
        <f t="shared" si="0"/>
        <v>127</v>
      </c>
      <c r="P32" s="87" t="s">
        <v>529</v>
      </c>
    </row>
    <row r="33" ht="13" spans="1:16">
      <c r="A33" s="86" t="s">
        <v>85</v>
      </c>
      <c r="B33" s="87">
        <v>2676</v>
      </c>
      <c r="C33" s="87" t="s">
        <v>11</v>
      </c>
      <c r="D33" s="87" t="s">
        <v>355</v>
      </c>
      <c r="E33" s="87">
        <v>10</v>
      </c>
      <c r="F33" s="10" t="s">
        <v>523</v>
      </c>
      <c r="G33" s="87" t="s">
        <v>12</v>
      </c>
      <c r="H33" s="87">
        <v>3</v>
      </c>
      <c r="I33" s="87">
        <v>4</v>
      </c>
      <c r="J33" s="87">
        <v>2</v>
      </c>
      <c r="K33" s="87">
        <v>3</v>
      </c>
      <c r="L33" s="87">
        <v>2</v>
      </c>
      <c r="M33" s="87">
        <v>4</v>
      </c>
      <c r="N33" s="87">
        <v>4</v>
      </c>
      <c r="O33" s="87">
        <f t="shared" si="0"/>
        <v>276</v>
      </c>
      <c r="P33" s="87" t="s">
        <v>514</v>
      </c>
    </row>
  </sheetData>
  <autoFilter xmlns:etc="http://www.wps.cn/officeDocument/2017/etCustomData" ref="A2:P33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C33"/>
  <sheetViews>
    <sheetView workbookViewId="0">
      <selection activeCell="AE19" sqref="AE19"/>
    </sheetView>
  </sheetViews>
  <sheetFormatPr defaultColWidth="9" defaultRowHeight="14.5"/>
  <cols>
    <col min="1" max="1" width="68" customWidth="1"/>
    <col min="2" max="2" width="11.2818181818182" customWidth="1"/>
    <col min="3" max="3" width="13.8545454545455" customWidth="1"/>
    <col min="4" max="4" width="3.85454545454545" customWidth="1"/>
    <col min="5" max="5" width="4.28181818181818" customWidth="1"/>
    <col min="6" max="6" width="3.57272727272727" customWidth="1"/>
    <col min="7" max="7" width="3" customWidth="1"/>
    <col min="8" max="8" width="4" customWidth="1"/>
    <col min="9" max="9" width="3.85454545454545" customWidth="1"/>
    <col min="10" max="10" width="3.70909090909091" customWidth="1"/>
    <col min="11" max="11" width="4.13636363636364" customWidth="1"/>
    <col min="12" max="12" width="3.85454545454545" customWidth="1"/>
    <col min="13" max="13" width="3.42727272727273" customWidth="1"/>
    <col min="14" max="14" width="3.85454545454545" customWidth="1"/>
    <col min="15" max="15" width="4.13636363636364" customWidth="1"/>
    <col min="16" max="16" width="3.85454545454545" customWidth="1"/>
    <col min="17" max="17" width="4.28181818181818" customWidth="1"/>
    <col min="18" max="18" width="3.57272727272727" customWidth="1"/>
    <col min="19" max="19" width="3" customWidth="1"/>
    <col min="20" max="20" width="4" customWidth="1"/>
    <col min="21" max="21" width="3.85454545454545" customWidth="1"/>
    <col min="22" max="22" width="3.70909090909091" customWidth="1"/>
    <col min="23" max="23" width="4.13636363636364" customWidth="1"/>
    <col min="24" max="24" width="3.85454545454545" customWidth="1"/>
    <col min="25" max="25" width="3.42727272727273" customWidth="1"/>
    <col min="26" max="26" width="3.85454545454545" customWidth="1"/>
    <col min="27" max="27" width="4.13636363636364" customWidth="1"/>
    <col min="28" max="28" width="3.85454545454545" customWidth="1"/>
    <col min="29" max="29" width="4.28181818181818" customWidth="1"/>
  </cols>
  <sheetData>
    <row r="1" spans="1:29">
      <c r="A1" s="69" t="s">
        <v>87</v>
      </c>
      <c r="B1" s="69"/>
      <c r="C1" s="69"/>
      <c r="D1" s="69">
        <v>2024</v>
      </c>
      <c r="E1" s="69"/>
      <c r="F1" s="69"/>
      <c r="G1" s="69"/>
      <c r="H1" s="69"/>
      <c r="I1" s="69"/>
      <c r="J1" s="69"/>
      <c r="K1" s="69"/>
      <c r="L1" s="69"/>
      <c r="M1" s="69">
        <v>2025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>
        <v>2026</v>
      </c>
      <c r="Z1" s="69"/>
      <c r="AA1" s="69"/>
      <c r="AB1" s="69"/>
      <c r="AC1" s="69"/>
    </row>
    <row r="2" s="67" customFormat="1" ht="43.5" spans="1:29">
      <c r="A2" s="70" t="s">
        <v>553</v>
      </c>
      <c r="B2" s="70" t="s">
        <v>2</v>
      </c>
      <c r="C2" s="70" t="s">
        <v>3</v>
      </c>
      <c r="D2" s="71" t="s">
        <v>89</v>
      </c>
      <c r="E2" s="71" t="s">
        <v>26</v>
      </c>
      <c r="F2" s="71" t="s">
        <v>90</v>
      </c>
      <c r="G2" s="71" t="s">
        <v>91</v>
      </c>
      <c r="H2" s="71" t="s">
        <v>92</v>
      </c>
      <c r="I2" s="71" t="s">
        <v>93</v>
      </c>
      <c r="J2" s="71" t="s">
        <v>94</v>
      </c>
      <c r="K2" s="71" t="s">
        <v>95</v>
      </c>
      <c r="L2" s="71" t="s">
        <v>96</v>
      </c>
      <c r="M2" s="71" t="s">
        <v>97</v>
      </c>
      <c r="N2" s="71" t="s">
        <v>98</v>
      </c>
      <c r="O2" s="71" t="s">
        <v>99</v>
      </c>
      <c r="P2" s="71" t="s">
        <v>89</v>
      </c>
      <c r="Q2" s="71" t="s">
        <v>26</v>
      </c>
      <c r="R2" s="71" t="s">
        <v>90</v>
      </c>
      <c r="S2" s="71" t="s">
        <v>91</v>
      </c>
      <c r="T2" s="71" t="s">
        <v>92</v>
      </c>
      <c r="U2" s="71" t="s">
        <v>93</v>
      </c>
      <c r="V2" s="71" t="s">
        <v>94</v>
      </c>
      <c r="W2" s="71" t="s">
        <v>95</v>
      </c>
      <c r="X2" s="71" t="s">
        <v>96</v>
      </c>
      <c r="Y2" s="71" t="s">
        <v>97</v>
      </c>
      <c r="Z2" s="71" t="s">
        <v>98</v>
      </c>
      <c r="AA2" s="71" t="s">
        <v>99</v>
      </c>
      <c r="AB2" s="71" t="s">
        <v>89</v>
      </c>
      <c r="AC2" s="71" t="s">
        <v>26</v>
      </c>
    </row>
    <row r="3" spans="1:29">
      <c r="A3" s="72" t="s">
        <v>18</v>
      </c>
      <c r="B3" s="73">
        <v>7168</v>
      </c>
      <c r="C3" s="74" t="s">
        <v>11</v>
      </c>
      <c r="D3" s="75">
        <v>1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</row>
    <row r="4" spans="1:29">
      <c r="A4" s="72" t="s">
        <v>48</v>
      </c>
      <c r="B4" s="77">
        <v>9845</v>
      </c>
      <c r="C4" s="74" t="s">
        <v>34</v>
      </c>
      <c r="D4" s="75">
        <v>1</v>
      </c>
      <c r="E4" s="75">
        <v>1</v>
      </c>
      <c r="F4" s="75">
        <v>1</v>
      </c>
      <c r="G4" s="75">
        <v>1</v>
      </c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</row>
    <row r="5" spans="1:29">
      <c r="A5" s="72" t="s">
        <v>43</v>
      </c>
      <c r="B5" s="77">
        <v>3695</v>
      </c>
      <c r="C5" s="74" t="s">
        <v>34</v>
      </c>
      <c r="D5" s="75">
        <v>1</v>
      </c>
      <c r="E5" s="75">
        <v>1</v>
      </c>
      <c r="F5" s="75">
        <v>1</v>
      </c>
      <c r="G5" s="75">
        <v>1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</row>
    <row r="6" spans="1:29">
      <c r="A6" s="72" t="s">
        <v>46</v>
      </c>
      <c r="B6" s="77">
        <v>2981</v>
      </c>
      <c r="C6" s="74" t="s">
        <v>34</v>
      </c>
      <c r="D6" s="75">
        <v>1</v>
      </c>
      <c r="E6" s="75">
        <v>1</v>
      </c>
      <c r="F6" s="75">
        <v>1</v>
      </c>
      <c r="G6" s="75">
        <v>1</v>
      </c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</row>
    <row r="7" spans="1:29">
      <c r="A7" s="72" t="s">
        <v>54</v>
      </c>
      <c r="B7" s="77">
        <v>12829</v>
      </c>
      <c r="C7" s="74" t="s">
        <v>11</v>
      </c>
      <c r="D7" s="75">
        <v>1</v>
      </c>
      <c r="E7" s="75">
        <v>1</v>
      </c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</row>
    <row r="8" spans="1:29">
      <c r="A8" s="72" t="s">
        <v>76</v>
      </c>
      <c r="B8" s="78">
        <v>10287</v>
      </c>
      <c r="C8" s="74" t="s">
        <v>11</v>
      </c>
      <c r="D8" s="76"/>
      <c r="E8" s="75">
        <v>1</v>
      </c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</row>
    <row r="9" spans="1:29">
      <c r="A9" s="72" t="s">
        <v>81</v>
      </c>
      <c r="B9" s="78">
        <v>45835</v>
      </c>
      <c r="C9" s="74" t="s">
        <v>11</v>
      </c>
      <c r="D9" s="76"/>
      <c r="E9" s="76"/>
      <c r="F9" s="75">
        <v>1</v>
      </c>
      <c r="G9" s="75">
        <v>1</v>
      </c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</row>
    <row r="10" spans="1:29">
      <c r="A10" s="72" t="s">
        <v>57</v>
      </c>
      <c r="B10" s="77"/>
      <c r="C10" s="74" t="s">
        <v>11</v>
      </c>
      <c r="D10" s="76"/>
      <c r="E10" s="76"/>
      <c r="F10" s="75">
        <v>1</v>
      </c>
      <c r="G10" s="75">
        <v>1</v>
      </c>
      <c r="H10" s="75">
        <v>1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</row>
    <row r="11" spans="1:29">
      <c r="A11" s="72" t="s">
        <v>67</v>
      </c>
      <c r="B11" s="77">
        <v>111114</v>
      </c>
      <c r="C11" s="74" t="s">
        <v>34</v>
      </c>
      <c r="D11" s="76"/>
      <c r="E11" s="76"/>
      <c r="F11" s="76"/>
      <c r="G11" s="76"/>
      <c r="H11" s="75">
        <v>1</v>
      </c>
      <c r="I11" s="75">
        <v>1</v>
      </c>
      <c r="J11" s="75">
        <v>1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</row>
    <row r="12" spans="1:29">
      <c r="A12" s="72" t="s">
        <v>41</v>
      </c>
      <c r="B12" s="77">
        <v>8925</v>
      </c>
      <c r="C12" s="74" t="s">
        <v>34</v>
      </c>
      <c r="D12" s="76"/>
      <c r="E12" s="76"/>
      <c r="F12" s="76"/>
      <c r="G12" s="76"/>
      <c r="H12" s="75">
        <v>1</v>
      </c>
      <c r="I12" s="75">
        <v>1</v>
      </c>
      <c r="J12" s="75">
        <v>1</v>
      </c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</row>
    <row r="13" spans="1:29">
      <c r="A13" s="72" t="s">
        <v>554</v>
      </c>
      <c r="B13" s="77">
        <v>5854</v>
      </c>
      <c r="C13" s="74" t="s">
        <v>34</v>
      </c>
      <c r="D13" s="76"/>
      <c r="E13" s="76"/>
      <c r="F13" s="76"/>
      <c r="G13" s="76"/>
      <c r="H13" s="75">
        <v>1</v>
      </c>
      <c r="I13" s="75">
        <v>1</v>
      </c>
      <c r="J13" s="75">
        <v>1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</row>
    <row r="14" spans="1:29">
      <c r="A14" s="72" t="s">
        <v>86</v>
      </c>
      <c r="B14" s="78">
        <v>9247</v>
      </c>
      <c r="C14" s="74" t="s">
        <v>11</v>
      </c>
      <c r="D14" s="76"/>
      <c r="E14" s="76"/>
      <c r="F14" s="76"/>
      <c r="G14" s="76"/>
      <c r="H14" s="75">
        <v>1</v>
      </c>
      <c r="I14" s="75">
        <v>1</v>
      </c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</row>
    <row r="15" spans="1:29">
      <c r="A15" s="72" t="s">
        <v>39</v>
      </c>
      <c r="B15" s="77">
        <v>5337</v>
      </c>
      <c r="C15" s="74" t="s">
        <v>11</v>
      </c>
      <c r="D15" s="76"/>
      <c r="E15" s="76"/>
      <c r="F15" s="76"/>
      <c r="G15" s="76"/>
      <c r="H15" s="76"/>
      <c r="I15" s="76"/>
      <c r="J15" s="75">
        <v>1</v>
      </c>
      <c r="K15" s="75">
        <v>1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</row>
    <row r="16" spans="1:29">
      <c r="A16" s="72" t="s">
        <v>37</v>
      </c>
      <c r="B16" s="77">
        <v>14504</v>
      </c>
      <c r="C16" s="74" t="s">
        <v>34</v>
      </c>
      <c r="D16" s="76"/>
      <c r="E16" s="76"/>
      <c r="F16" s="76"/>
      <c r="G16" s="76"/>
      <c r="H16" s="76"/>
      <c r="I16" s="76"/>
      <c r="J16" s="76"/>
      <c r="K16" s="75">
        <v>1</v>
      </c>
      <c r="L16" s="75">
        <v>1</v>
      </c>
      <c r="M16" s="75">
        <v>1</v>
      </c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</row>
    <row r="17" spans="1:29">
      <c r="A17" s="72" t="s">
        <v>33</v>
      </c>
      <c r="B17" s="77">
        <v>10119</v>
      </c>
      <c r="C17" s="74" t="s">
        <v>34</v>
      </c>
      <c r="D17" s="76"/>
      <c r="E17" s="76"/>
      <c r="F17" s="76"/>
      <c r="G17" s="76"/>
      <c r="H17" s="76"/>
      <c r="I17" s="76"/>
      <c r="J17" s="76"/>
      <c r="K17" s="75">
        <v>1</v>
      </c>
      <c r="L17" s="75">
        <v>1</v>
      </c>
      <c r="M17" s="75">
        <v>1</v>
      </c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</row>
    <row r="18" spans="1:29">
      <c r="A18" s="72" t="s">
        <v>38</v>
      </c>
      <c r="B18" s="77">
        <v>7232</v>
      </c>
      <c r="C18" s="74" t="s">
        <v>34</v>
      </c>
      <c r="D18" s="76"/>
      <c r="E18" s="76"/>
      <c r="F18" s="76"/>
      <c r="G18" s="76"/>
      <c r="H18" s="76"/>
      <c r="I18" s="76"/>
      <c r="J18" s="76"/>
      <c r="K18" s="75">
        <v>1</v>
      </c>
      <c r="L18" s="75">
        <v>1</v>
      </c>
      <c r="M18" s="75">
        <v>1</v>
      </c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</row>
    <row r="19" spans="1:29">
      <c r="A19" s="72" t="s">
        <v>50</v>
      </c>
      <c r="B19" s="77">
        <v>4243</v>
      </c>
      <c r="C19" s="74" t="s">
        <v>11</v>
      </c>
      <c r="D19" s="76"/>
      <c r="E19" s="76"/>
      <c r="F19" s="76"/>
      <c r="G19" s="76"/>
      <c r="H19" s="76"/>
      <c r="I19" s="76"/>
      <c r="J19" s="76"/>
      <c r="K19" s="76"/>
      <c r="L19" s="75">
        <v>1</v>
      </c>
      <c r="M19" s="75">
        <v>1</v>
      </c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</row>
    <row r="20" spans="1:29">
      <c r="A20" s="72" t="s">
        <v>52</v>
      </c>
      <c r="B20" s="77">
        <v>5228</v>
      </c>
      <c r="C20" s="74" t="s">
        <v>11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5">
        <v>1</v>
      </c>
      <c r="O20" s="75">
        <v>1</v>
      </c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</row>
    <row r="21" spans="1:29">
      <c r="A21" s="72" t="s">
        <v>68</v>
      </c>
      <c r="B21" s="78">
        <v>1639</v>
      </c>
      <c r="C21" s="74" t="s">
        <v>11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5">
        <v>1</v>
      </c>
      <c r="O21" s="75">
        <v>1</v>
      </c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</row>
    <row r="22" spans="1:29">
      <c r="A22" s="72" t="s">
        <v>70</v>
      </c>
      <c r="B22" s="78">
        <v>2025</v>
      </c>
      <c r="C22" s="74" t="s">
        <v>11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5">
        <v>1</v>
      </c>
      <c r="Q22" s="75">
        <v>1</v>
      </c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</row>
    <row r="23" spans="1:29">
      <c r="A23" s="72" t="s">
        <v>72</v>
      </c>
      <c r="B23" s="78">
        <v>2013</v>
      </c>
      <c r="C23" s="74" t="s">
        <v>11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5">
        <v>1</v>
      </c>
      <c r="Q23" s="75">
        <v>1</v>
      </c>
      <c r="R23" s="75">
        <v>1</v>
      </c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</row>
    <row r="24" spans="1:29">
      <c r="A24" s="72" t="s">
        <v>74</v>
      </c>
      <c r="B24" s="78">
        <v>1931</v>
      </c>
      <c r="C24" s="74" t="s">
        <v>11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5">
        <v>1</v>
      </c>
      <c r="S24" s="75">
        <v>1</v>
      </c>
      <c r="T24" s="75">
        <v>1</v>
      </c>
      <c r="U24" s="76"/>
      <c r="V24" s="76"/>
      <c r="W24" s="76"/>
      <c r="X24" s="76"/>
      <c r="Y24" s="76"/>
      <c r="Z24" s="76"/>
      <c r="AA24" s="76"/>
      <c r="AB24" s="76"/>
      <c r="AC24" s="76"/>
    </row>
    <row r="25" spans="1:29">
      <c r="A25" s="72" t="s">
        <v>25</v>
      </c>
      <c r="B25" s="77">
        <v>6804</v>
      </c>
      <c r="C25" s="74" t="s">
        <v>11</v>
      </c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5">
        <v>1</v>
      </c>
      <c r="T25" s="76"/>
      <c r="U25" s="76"/>
      <c r="V25" s="76"/>
      <c r="W25" s="76"/>
      <c r="X25" s="76"/>
      <c r="Y25" s="76"/>
      <c r="Z25" s="76"/>
      <c r="AA25" s="76"/>
      <c r="AB25" s="76"/>
      <c r="AC25" s="76"/>
    </row>
    <row r="26" spans="1:29">
      <c r="A26" s="72" t="s">
        <v>79</v>
      </c>
      <c r="B26" s="78">
        <v>4037</v>
      </c>
      <c r="C26" s="74" t="s">
        <v>11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5">
        <v>1</v>
      </c>
      <c r="U26" s="75">
        <v>1</v>
      </c>
      <c r="V26" s="76"/>
      <c r="W26" s="76"/>
      <c r="X26" s="76"/>
      <c r="Y26" s="76"/>
      <c r="Z26" s="76"/>
      <c r="AA26" s="76"/>
      <c r="AB26" s="76"/>
      <c r="AC26" s="76"/>
    </row>
    <row r="27" spans="1:29">
      <c r="A27" s="72" t="s">
        <v>77</v>
      </c>
      <c r="B27" s="78">
        <v>1926</v>
      </c>
      <c r="C27" s="74" t="s">
        <v>11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5">
        <v>1</v>
      </c>
      <c r="V27" s="75">
        <v>1</v>
      </c>
      <c r="W27" s="76"/>
      <c r="X27" s="76"/>
      <c r="Y27" s="76"/>
      <c r="Z27" s="76"/>
      <c r="AA27" s="76"/>
      <c r="AB27" s="76"/>
      <c r="AC27" s="76"/>
    </row>
    <row r="28" spans="1:29">
      <c r="A28" s="72" t="s">
        <v>82</v>
      </c>
      <c r="B28" s="78">
        <v>4381</v>
      </c>
      <c r="C28" s="74" t="s">
        <v>11</v>
      </c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5">
        <v>1</v>
      </c>
      <c r="W28" s="75">
        <v>1</v>
      </c>
      <c r="X28" s="76"/>
      <c r="Y28" s="76"/>
      <c r="Z28" s="76"/>
      <c r="AA28" s="76"/>
      <c r="AB28" s="76"/>
      <c r="AC28" s="76"/>
    </row>
    <row r="29" spans="1:29">
      <c r="A29" s="72" t="s">
        <v>83</v>
      </c>
      <c r="B29" s="78">
        <v>7125</v>
      </c>
      <c r="C29" s="74" t="s">
        <v>11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5">
        <v>1</v>
      </c>
      <c r="X29" s="75">
        <v>1</v>
      </c>
      <c r="Y29" s="76"/>
      <c r="Z29" s="76"/>
      <c r="AA29" s="76"/>
      <c r="AB29" s="76"/>
      <c r="AC29" s="76"/>
    </row>
    <row r="30" spans="1:29">
      <c r="A30" s="72" t="s">
        <v>27</v>
      </c>
      <c r="B30" s="77">
        <v>5170</v>
      </c>
      <c r="C30" s="74" t="s">
        <v>11</v>
      </c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5">
        <v>1</v>
      </c>
      <c r="Y30" s="75">
        <v>1</v>
      </c>
      <c r="Z30" s="76"/>
      <c r="AA30" s="76"/>
      <c r="AB30" s="76"/>
      <c r="AC30" s="76"/>
    </row>
    <row r="31" spans="1:29">
      <c r="A31" s="72" t="s">
        <v>30</v>
      </c>
      <c r="B31" s="77">
        <v>5159</v>
      </c>
      <c r="C31" s="74" t="s">
        <v>11</v>
      </c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5">
        <v>1</v>
      </c>
      <c r="Z31" s="75">
        <v>1</v>
      </c>
      <c r="AA31" s="75">
        <v>1</v>
      </c>
      <c r="AB31" s="76"/>
      <c r="AC31" s="76"/>
    </row>
    <row r="32" spans="1:29">
      <c r="A32" s="72" t="s">
        <v>84</v>
      </c>
      <c r="B32" s="78">
        <v>2192</v>
      </c>
      <c r="C32" s="74" t="s">
        <v>11</v>
      </c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9">
        <v>1</v>
      </c>
      <c r="AA32" s="79">
        <v>1</v>
      </c>
      <c r="AB32" s="76"/>
      <c r="AC32" s="76"/>
    </row>
    <row r="33" spans="1:29">
      <c r="A33" s="72" t="s">
        <v>85</v>
      </c>
      <c r="B33" s="78">
        <v>2676</v>
      </c>
      <c r="C33" s="74" t="s">
        <v>11</v>
      </c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5">
        <v>1</v>
      </c>
      <c r="AB33" s="75">
        <v>1</v>
      </c>
      <c r="AC33" s="75">
        <v>1</v>
      </c>
    </row>
  </sheetData>
  <mergeCells count="4">
    <mergeCell ref="A1:C1"/>
    <mergeCell ref="D1:L1"/>
    <mergeCell ref="M1:X1"/>
    <mergeCell ref="Y1:AC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3:H7"/>
  <sheetViews>
    <sheetView workbookViewId="0">
      <selection activeCell="D12" sqref="D12"/>
    </sheetView>
  </sheetViews>
  <sheetFormatPr defaultColWidth="9" defaultRowHeight="14.5" outlineLevelRow="6" outlineLevelCol="7"/>
  <cols>
    <col min="1" max="1" width="12.1363636363636" customWidth="1"/>
    <col min="2" max="2" width="11" customWidth="1"/>
    <col min="3" max="3" width="9.42727272727273" customWidth="1"/>
    <col min="4" max="4" width="4.85454545454545" customWidth="1"/>
    <col min="5" max="5" width="7.85454545454545" customWidth="1"/>
    <col min="6" max="6" width="10.8545454545455" customWidth="1"/>
    <col min="7" max="7" width="7" customWidth="1"/>
    <col min="8" max="9" width="10.7090909090909" customWidth="1"/>
    <col min="10" max="10" width="6.13636363636364" customWidth="1"/>
    <col min="11" max="11" width="7" customWidth="1"/>
    <col min="12" max="12" width="9.13636363636364" customWidth="1"/>
    <col min="13" max="13" width="10.7090909090909" customWidth="1"/>
  </cols>
  <sheetData>
    <row r="3" spans="1:8">
      <c r="A3" s="4" t="s">
        <v>381</v>
      </c>
      <c r="B3" s="4" t="s">
        <v>382</v>
      </c>
      <c r="C3" s="4"/>
      <c r="D3" s="4"/>
      <c r="E3" s="4"/>
      <c r="F3" s="4"/>
      <c r="G3" s="4"/>
      <c r="H3" s="4"/>
    </row>
    <row r="4" s="67" customFormat="1" ht="24" spans="1:8">
      <c r="A4" s="68" t="s">
        <v>385</v>
      </c>
      <c r="B4" s="68" t="s">
        <v>491</v>
      </c>
      <c r="C4" s="68" t="s">
        <v>372</v>
      </c>
      <c r="D4" s="68" t="s">
        <v>318</v>
      </c>
      <c r="E4" s="68" t="s">
        <v>364</v>
      </c>
      <c r="F4" s="68" t="s">
        <v>343</v>
      </c>
      <c r="G4" s="68" t="s">
        <v>355</v>
      </c>
      <c r="H4" s="68" t="s">
        <v>384</v>
      </c>
    </row>
    <row r="5" spans="1:8">
      <c r="A5" s="4" t="s">
        <v>11</v>
      </c>
      <c r="B5" s="4">
        <v>3</v>
      </c>
      <c r="C5" s="4">
        <v>3</v>
      </c>
      <c r="D5" s="4">
        <v>17</v>
      </c>
      <c r="E5" s="4">
        <v>6</v>
      </c>
      <c r="F5" s="4">
        <v>2</v>
      </c>
      <c r="G5" s="4">
        <v>1</v>
      </c>
      <c r="H5" s="4">
        <v>32</v>
      </c>
    </row>
    <row r="6" spans="1:8">
      <c r="A6" s="4" t="s">
        <v>34</v>
      </c>
      <c r="B6" s="4"/>
      <c r="C6" s="4"/>
      <c r="D6" s="4">
        <v>7</v>
      </c>
      <c r="E6" s="4"/>
      <c r="F6" s="4"/>
      <c r="G6" s="4">
        <v>2</v>
      </c>
      <c r="H6" s="4">
        <v>9</v>
      </c>
    </row>
    <row r="7" spans="1:8">
      <c r="A7" s="4" t="s">
        <v>384</v>
      </c>
      <c r="B7" s="4">
        <v>3</v>
      </c>
      <c r="C7" s="4">
        <v>3</v>
      </c>
      <c r="D7" s="4">
        <v>24</v>
      </c>
      <c r="E7" s="4">
        <v>6</v>
      </c>
      <c r="F7" s="4">
        <v>2</v>
      </c>
      <c r="G7" s="4">
        <v>3</v>
      </c>
      <c r="H7" s="4">
        <v>41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7"/>
  <sheetViews>
    <sheetView workbookViewId="0">
      <selection activeCell="B7" sqref="B7"/>
    </sheetView>
  </sheetViews>
  <sheetFormatPr defaultColWidth="9" defaultRowHeight="14.5" outlineLevelRow="6"/>
  <cols>
    <col min="1" max="1" width="15.2818181818182" customWidth="1"/>
  </cols>
  <sheetData>
    <row r="1" spans="1:1">
      <c r="A1" t="s">
        <v>434</v>
      </c>
    </row>
    <row r="2" spans="1:1">
      <c r="A2" t="s">
        <v>555</v>
      </c>
    </row>
    <row r="3" spans="1:1">
      <c r="A3" t="s">
        <v>556</v>
      </c>
    </row>
    <row r="4" spans="1:1">
      <c r="A4" t="s">
        <v>557</v>
      </c>
    </row>
    <row r="5" spans="1:1">
      <c r="A5" t="s">
        <v>558</v>
      </c>
    </row>
    <row r="6" spans="1:1">
      <c r="A6" t="s">
        <v>559</v>
      </c>
    </row>
    <row r="7" spans="1:1">
      <c r="A7" t="s">
        <v>560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zoomScale="95" zoomScaleNormal="95" topLeftCell="N1" workbookViewId="0">
      <selection activeCell="AC4" sqref="AC4"/>
    </sheetView>
  </sheetViews>
  <sheetFormatPr defaultColWidth="8.70909090909091" defaultRowHeight="12"/>
  <cols>
    <col min="1" max="1" width="4.85454545454545" style="19" customWidth="1"/>
    <col min="2" max="2" width="35.5727272727273" style="19" customWidth="1"/>
    <col min="3" max="3" width="9.42727272727273" style="19" customWidth="1"/>
    <col min="4" max="4" width="11.1363636363636" style="19" customWidth="1"/>
    <col min="5" max="5" width="13.4272727272727" style="19" customWidth="1"/>
    <col min="6" max="6" width="10.4272727272727" style="17" customWidth="1"/>
    <col min="7" max="7" width="9" style="19" customWidth="1"/>
    <col min="8" max="8" width="9.42727272727273" style="19" customWidth="1"/>
    <col min="9" max="9" width="15.7090909090909" style="20" customWidth="1"/>
    <col min="10" max="10" width="11.8545454545455" style="19" customWidth="1"/>
    <col min="11" max="11" width="15.2818181818182" style="19" customWidth="1"/>
    <col min="12" max="12" width="13" style="19" customWidth="1"/>
    <col min="13" max="13" width="12.5727272727273" style="19" customWidth="1"/>
    <col min="14" max="14" width="15.4272727272727" style="19" customWidth="1"/>
    <col min="15" max="16" width="12.4272727272727" style="20" customWidth="1"/>
    <col min="17" max="18" width="12.4272727272727" style="20" hidden="1" customWidth="1"/>
    <col min="19" max="19" width="12.4272727272727" style="20" customWidth="1"/>
    <col min="20" max="20" width="12.7090909090909" style="19" customWidth="1"/>
    <col min="21" max="21" width="10.5727272727273" style="19" customWidth="1"/>
    <col min="22" max="22" width="11.8545454545455" style="19" customWidth="1"/>
    <col min="23" max="23" width="11.8545454545455" style="19" hidden="1" customWidth="1"/>
    <col min="24" max="24" width="11.8545454545455" style="19" customWidth="1"/>
    <col min="25" max="25" width="11.8545454545455" style="19" hidden="1" customWidth="1"/>
    <col min="26" max="26" width="11.8545454545455" style="19" customWidth="1"/>
    <col min="27" max="27" width="16.7090909090909" style="19" customWidth="1"/>
    <col min="28" max="28" width="15.5727272727273" style="19" customWidth="1"/>
    <col min="29" max="29" width="14.1363636363636" style="19" customWidth="1"/>
    <col min="30" max="16384" width="8.70909090909091" style="19"/>
  </cols>
  <sheetData>
    <row r="1" ht="18" customHeight="1" spans="1:29">
      <c r="A1" s="21" t="s">
        <v>430</v>
      </c>
      <c r="B1" s="21"/>
      <c r="C1" s="21"/>
      <c r="D1" s="21"/>
      <c r="E1" s="21"/>
      <c r="F1" s="21"/>
      <c r="G1" s="21"/>
      <c r="H1" s="21"/>
      <c r="I1" s="30" t="s">
        <v>561</v>
      </c>
      <c r="J1" s="31"/>
      <c r="K1" s="31"/>
      <c r="L1" s="31"/>
      <c r="M1" s="31"/>
      <c r="N1" s="32"/>
      <c r="O1" s="33" t="s">
        <v>447</v>
      </c>
      <c r="P1" s="33" t="s">
        <v>562</v>
      </c>
      <c r="Q1" s="33" t="s">
        <v>563</v>
      </c>
      <c r="R1" s="33" t="s">
        <v>555</v>
      </c>
      <c r="S1" s="49" t="s">
        <v>564</v>
      </c>
      <c r="T1" s="50"/>
      <c r="U1" s="50"/>
      <c r="V1" s="50"/>
      <c r="W1" s="50"/>
      <c r="X1" s="50"/>
      <c r="Y1" s="50"/>
      <c r="Z1" s="50"/>
      <c r="AA1" s="58"/>
      <c r="AB1" s="59" t="s">
        <v>434</v>
      </c>
      <c r="AC1" s="59"/>
    </row>
    <row r="2" ht="18" customHeight="1" spans="1:29">
      <c r="A2" s="22" t="s">
        <v>435</v>
      </c>
      <c r="B2" s="22" t="s">
        <v>436</v>
      </c>
      <c r="C2" s="22" t="s">
        <v>437</v>
      </c>
      <c r="D2" s="22" t="s">
        <v>438</v>
      </c>
      <c r="E2" s="22" t="s">
        <v>439</v>
      </c>
      <c r="F2" s="22" t="s">
        <v>302</v>
      </c>
      <c r="G2" s="22" t="s">
        <v>312</v>
      </c>
      <c r="H2" s="22" t="s">
        <v>565</v>
      </c>
      <c r="I2" s="34" t="s">
        <v>441</v>
      </c>
      <c r="J2" s="35" t="s">
        <v>442</v>
      </c>
      <c r="K2" s="36" t="s">
        <v>443</v>
      </c>
      <c r="L2" s="36" t="s">
        <v>566</v>
      </c>
      <c r="M2" s="36" t="s">
        <v>445</v>
      </c>
      <c r="N2" s="37" t="s">
        <v>446</v>
      </c>
      <c r="O2" s="38"/>
      <c r="P2" s="38"/>
      <c r="Q2" s="38"/>
      <c r="R2" s="38"/>
      <c r="S2" s="51" t="s">
        <v>449</v>
      </c>
      <c r="T2" s="52" t="s">
        <v>442</v>
      </c>
      <c r="U2" s="52" t="s">
        <v>451</v>
      </c>
      <c r="V2" s="50" t="s">
        <v>452</v>
      </c>
      <c r="W2" s="50"/>
      <c r="X2" s="50"/>
      <c r="Y2" s="54" t="s">
        <v>453</v>
      </c>
      <c r="Z2" s="53"/>
      <c r="AA2" s="52" t="s">
        <v>567</v>
      </c>
      <c r="AB2" s="60" t="s">
        <v>568</v>
      </c>
      <c r="AC2" s="60" t="s">
        <v>456</v>
      </c>
    </row>
    <row r="3" s="17" customFormat="1" ht="24" spans="1:29">
      <c r="A3" s="23"/>
      <c r="B3" s="23"/>
      <c r="C3" s="23"/>
      <c r="D3" s="23"/>
      <c r="E3" s="23"/>
      <c r="F3" s="23"/>
      <c r="G3" s="23"/>
      <c r="H3" s="23"/>
      <c r="I3" s="34"/>
      <c r="J3" s="35"/>
      <c r="K3" s="36"/>
      <c r="L3" s="36"/>
      <c r="M3" s="36"/>
      <c r="N3" s="37"/>
      <c r="O3" s="39"/>
      <c r="P3" s="39"/>
      <c r="Q3" s="39"/>
      <c r="R3" s="39"/>
      <c r="S3" s="51"/>
      <c r="T3" s="52"/>
      <c r="U3" s="52"/>
      <c r="V3" s="53" t="s">
        <v>457</v>
      </c>
      <c r="W3" s="52" t="s">
        <v>458</v>
      </c>
      <c r="X3" s="54" t="s">
        <v>569</v>
      </c>
      <c r="Y3" s="52" t="s">
        <v>459</v>
      </c>
      <c r="Z3" s="52" t="s">
        <v>460</v>
      </c>
      <c r="AA3" s="52"/>
      <c r="AB3" s="61"/>
      <c r="AC3" s="61"/>
    </row>
    <row r="4" spans="1:29">
      <c r="A4" s="21" t="s">
        <v>333</v>
      </c>
      <c r="B4" s="21" t="s">
        <v>10</v>
      </c>
      <c r="C4" s="21" t="s">
        <v>12</v>
      </c>
      <c r="D4" s="21">
        <f>VLOOKUP(B4,'RPA RoadMap'!B:R,3,)</f>
        <v>6089</v>
      </c>
      <c r="E4" s="21" t="str">
        <f>VLOOKUP(B4,'RPA RoadMap'!B:AA,4,FALSE)</f>
        <v>NON-OCR</v>
      </c>
      <c r="F4" s="24" t="str">
        <f>VLOOKUP(B4,'RPA RoadMap'!B:R,5,FALSE)</f>
        <v>Daily</v>
      </c>
      <c r="G4" s="21" t="str">
        <f>VLOOKUP(B4,'RPA RoadMap'!B:R,13,FALSE)</f>
        <v>Medium</v>
      </c>
      <c r="H4" s="25">
        <f>((150*2)-71)/60</f>
        <v>3.81666666666667</v>
      </c>
      <c r="I4" s="40">
        <f>((D4*H4)/60)/(200)/6.5</f>
        <v>0.297944658119658</v>
      </c>
      <c r="J4" s="41">
        <f>I4*(48000/30)</f>
        <v>476.711452991453</v>
      </c>
      <c r="K4" s="41">
        <f>I4*(10785/30)</f>
        <v>107.111104594017</v>
      </c>
      <c r="L4" s="41">
        <f>I4*(5283/30)</f>
        <v>52.4680542948718</v>
      </c>
      <c r="M4" s="41">
        <f>I4*(6432/30)</f>
        <v>63.8793347008547</v>
      </c>
      <c r="N4" s="42">
        <f>I4*(70500/30)</f>
        <v>700.169946581197</v>
      </c>
      <c r="O4" s="43">
        <f>I4*0.85</f>
        <v>0.253252959401709</v>
      </c>
      <c r="P4" s="43">
        <f>(205-71)/60</f>
        <v>2.23333333333333</v>
      </c>
      <c r="Q4" s="43">
        <f>((D4*P4/100)/60)/(200/12)/6.5</f>
        <v>0.0209211794871795</v>
      </c>
      <c r="R4" s="43">
        <f>Q4*70500</f>
        <v>1474.94315384615</v>
      </c>
      <c r="S4" s="55">
        <f>I4-O4</f>
        <v>0.0446916987179487</v>
      </c>
      <c r="T4" s="56">
        <f>S4*(70500/30)</f>
        <v>105.025491987179</v>
      </c>
      <c r="U4" s="56">
        <f>(5000/30)</f>
        <v>166.666666666667</v>
      </c>
      <c r="V4" s="56">
        <f>(((D4/365)*(P4))/60)*(49000/(30*24))</f>
        <v>42.2589780991037</v>
      </c>
      <c r="W4" s="56">
        <f>(21000/30)/3</f>
        <v>233.333333333333</v>
      </c>
      <c r="X4" s="56">
        <v>0</v>
      </c>
      <c r="Y4" s="56">
        <f>(((600000/4)/22)*29)/66</f>
        <v>2995.86776859504</v>
      </c>
      <c r="Z4" s="56">
        <f>((100000*2)/23)/30</f>
        <v>289.855072463768</v>
      </c>
      <c r="AA4" s="56">
        <f>SUM(T4:Z4)-W4-Y4</f>
        <v>603.806209216718</v>
      </c>
      <c r="AB4" s="62">
        <f t="shared" ref="AB4:AB26" si="0">(N4-AA4)</f>
        <v>96.3637373644788</v>
      </c>
      <c r="AC4" s="63">
        <f t="shared" ref="AC4:AC26" si="1">(N4-AA4)/N4</f>
        <v>0.137629068249795</v>
      </c>
    </row>
    <row r="5" spans="1:29">
      <c r="A5" s="21" t="s">
        <v>333</v>
      </c>
      <c r="B5" s="21" t="s">
        <v>15</v>
      </c>
      <c r="C5" s="21" t="s">
        <v>12</v>
      </c>
      <c r="D5" s="21">
        <f>VLOOKUP(B5,'RPA RoadMap'!B:R,3,)</f>
        <v>3933</v>
      </c>
      <c r="E5" s="21" t="str">
        <f>VLOOKUP(B5,'RPA RoadMap'!B:AA,4,FALSE)</f>
        <v>NON-OCR</v>
      </c>
      <c r="F5" s="24" t="str">
        <f>VLOOKUP(B5,'RPA RoadMap'!B:R,5,FALSE)</f>
        <v>Daily</v>
      </c>
      <c r="G5" s="21" t="str">
        <f>VLOOKUP(B5,'RPA RoadMap'!B:R,13,FALSE)</f>
        <v>Simple</v>
      </c>
      <c r="H5" s="25">
        <f>((143*2)-69)/60</f>
        <v>3.61666666666667</v>
      </c>
      <c r="I5" s="40">
        <f t="shared" ref="I5:I26" si="2">((D5*H5)/60)/(200)/6.5</f>
        <v>0.182363461538462</v>
      </c>
      <c r="J5" s="41">
        <f t="shared" ref="J5:J26" si="3">I5*(48000/30)</f>
        <v>291.781538461539</v>
      </c>
      <c r="K5" s="41">
        <f t="shared" ref="K5:K26" si="4">I5*(10785/30)</f>
        <v>65.5596644230769</v>
      </c>
      <c r="L5" s="41">
        <f t="shared" ref="L5:L26" si="5">I5*(5283/30)</f>
        <v>32.1142055769231</v>
      </c>
      <c r="M5" s="41">
        <f t="shared" ref="M5:M26" si="6">I5*(6432/30)</f>
        <v>39.0987261538462</v>
      </c>
      <c r="N5" s="42">
        <f t="shared" ref="N5:N26" si="7">I5*(70500/30)</f>
        <v>428.554134615385</v>
      </c>
      <c r="O5" s="43">
        <f>I5*0.85</f>
        <v>0.155008942307692</v>
      </c>
      <c r="P5" s="43">
        <f>(143-69)/60</f>
        <v>1.23333333333333</v>
      </c>
      <c r="Q5" s="43">
        <f t="shared" ref="Q5:Q26" si="8">((D5*P5/100)/60)/(200/12)/6.5</f>
        <v>0.00746261538461538</v>
      </c>
      <c r="R5" s="43">
        <f t="shared" ref="R5:R26" si="9">Q5*70500</f>
        <v>526.114384615385</v>
      </c>
      <c r="S5" s="55">
        <f t="shared" ref="S5:S26" si="10">I5-O5</f>
        <v>0.0273545192307692</v>
      </c>
      <c r="T5" s="56">
        <f t="shared" ref="T5:T26" si="11">S5*(70500/30)</f>
        <v>64.2831201923077</v>
      </c>
      <c r="U5" s="56">
        <f t="shared" ref="U5:U26" si="12">(5000/30)</f>
        <v>166.666666666667</v>
      </c>
      <c r="V5" s="56">
        <f t="shared" ref="V5:V26" si="13">(((D5/365)*(P5))/60)*(49000/(30*24))</f>
        <v>15.0738394216134</v>
      </c>
      <c r="W5" s="56">
        <f t="shared" ref="W5:W26" si="14">(21000/30)/3</f>
        <v>233.333333333333</v>
      </c>
      <c r="X5" s="56">
        <v>0</v>
      </c>
      <c r="Y5" s="56">
        <f>(((600000/4)/22)*19)/66</f>
        <v>1962.80991735537</v>
      </c>
      <c r="Z5" s="56">
        <f t="shared" ref="Z5:Z26" si="15">((100000*2)/23)/30</f>
        <v>289.855072463768</v>
      </c>
      <c r="AA5" s="56">
        <f t="shared" ref="AA5:AA26" si="16">SUM(T5:Z5)-W5-Y5</f>
        <v>535.878698744355</v>
      </c>
      <c r="AB5" s="62">
        <f t="shared" si="0"/>
        <v>-107.324564128971</v>
      </c>
      <c r="AC5" s="63">
        <f t="shared" si="1"/>
        <v>-0.250434088625213</v>
      </c>
    </row>
    <row r="6" spans="1:29">
      <c r="A6" s="21" t="s">
        <v>333</v>
      </c>
      <c r="B6" s="21" t="s">
        <v>17</v>
      </c>
      <c r="C6" s="21" t="s">
        <v>12</v>
      </c>
      <c r="D6" s="21">
        <f>VLOOKUP(B6,'RPA RoadMap'!B:R,3,)</f>
        <v>10692</v>
      </c>
      <c r="E6" s="21" t="str">
        <f>VLOOKUP(B6,'RPA RoadMap'!B:AA,4,FALSE)</f>
        <v>NON-OCR</v>
      </c>
      <c r="F6" s="24" t="str">
        <f>VLOOKUP(B6,'RPA RoadMap'!B:R,5,FALSE)</f>
        <v>Daily</v>
      </c>
      <c r="G6" s="21" t="str">
        <f>VLOOKUP(B6,'RPA RoadMap'!B:R,13,FALSE)</f>
        <v>Medium</v>
      </c>
      <c r="H6" s="25">
        <f>((142*2)-93)/60</f>
        <v>3.18333333333333</v>
      </c>
      <c r="I6" s="40">
        <f t="shared" si="2"/>
        <v>0.436361538461538</v>
      </c>
      <c r="J6" s="41">
        <f t="shared" si="3"/>
        <v>698.178461538462</v>
      </c>
      <c r="K6" s="41">
        <f t="shared" si="4"/>
        <v>156.871973076923</v>
      </c>
      <c r="L6" s="41">
        <f t="shared" si="5"/>
        <v>76.8432669230769</v>
      </c>
      <c r="M6" s="41">
        <f t="shared" si="6"/>
        <v>93.5559138461539</v>
      </c>
      <c r="N6" s="42">
        <f t="shared" si="7"/>
        <v>1025.44961538462</v>
      </c>
      <c r="O6" s="43">
        <f>I6*0.85</f>
        <v>0.370907307692308</v>
      </c>
      <c r="P6" s="43">
        <f>(142-93)/60</f>
        <v>0.816666666666667</v>
      </c>
      <c r="Q6" s="43">
        <f t="shared" si="8"/>
        <v>0.0134335384615385</v>
      </c>
      <c r="R6" s="43">
        <f t="shared" si="9"/>
        <v>947.064461538462</v>
      </c>
      <c r="S6" s="55">
        <f t="shared" si="10"/>
        <v>0.0654542307692308</v>
      </c>
      <c r="T6" s="56">
        <f t="shared" si="11"/>
        <v>153.817442307692</v>
      </c>
      <c r="U6" s="56">
        <f t="shared" si="12"/>
        <v>166.666666666667</v>
      </c>
      <c r="V6" s="56">
        <f t="shared" si="13"/>
        <v>27.1345890410959</v>
      </c>
      <c r="W6" s="56">
        <f t="shared" si="14"/>
        <v>233.333333333333</v>
      </c>
      <c r="X6" s="56">
        <v>0</v>
      </c>
      <c r="Y6" s="56">
        <f>(((600000/4)/22)*29)/66</f>
        <v>2995.86776859504</v>
      </c>
      <c r="Z6" s="56">
        <f t="shared" si="15"/>
        <v>289.855072463768</v>
      </c>
      <c r="AA6" s="56">
        <f t="shared" si="16"/>
        <v>637.473770479223</v>
      </c>
      <c r="AB6" s="62">
        <f t="shared" si="0"/>
        <v>387.975844905392</v>
      </c>
      <c r="AC6" s="63">
        <f t="shared" si="1"/>
        <v>0.37834705780242</v>
      </c>
    </row>
    <row r="7" spans="1:29">
      <c r="A7" s="21" t="s">
        <v>333</v>
      </c>
      <c r="B7" s="21" t="s">
        <v>59</v>
      </c>
      <c r="C7" s="21" t="s">
        <v>12</v>
      </c>
      <c r="D7" s="21">
        <f>VLOOKUP(B7,'RPA RoadMap'!B:R,3,)</f>
        <v>48701</v>
      </c>
      <c r="E7" s="21" t="str">
        <f>VLOOKUP(B7,'RPA RoadMap'!B:AA,4,FALSE)</f>
        <v>NON-OCR</v>
      </c>
      <c r="F7" s="24" t="str">
        <f>VLOOKUP(B7,'RPA RoadMap'!B:R,5,FALSE)</f>
        <v>Daily</v>
      </c>
      <c r="G7" s="21" t="str">
        <f>VLOOKUP(B7,'RPA RoadMap'!B:R,13,FALSE)</f>
        <v>Complex</v>
      </c>
      <c r="H7" s="21">
        <f>VLOOKUP(B7,'RPA RoadMap'!B:R,6,FALSE)</f>
        <v>10</v>
      </c>
      <c r="I7" s="40">
        <f t="shared" si="2"/>
        <v>6.24371794871795</v>
      </c>
      <c r="J7" s="41">
        <f t="shared" si="3"/>
        <v>9989.94871794872</v>
      </c>
      <c r="K7" s="41">
        <f t="shared" si="4"/>
        <v>2244.6166025641</v>
      </c>
      <c r="L7" s="41">
        <f t="shared" si="5"/>
        <v>1099.51873076923</v>
      </c>
      <c r="M7" s="41">
        <f t="shared" si="6"/>
        <v>1338.65312820513</v>
      </c>
      <c r="N7" s="42">
        <f t="shared" si="7"/>
        <v>14672.7371794872</v>
      </c>
      <c r="O7" s="43">
        <f>I7*0.6</f>
        <v>3.74623076923077</v>
      </c>
      <c r="P7" s="43">
        <f>(191-160)/60</f>
        <v>0.516666666666667</v>
      </c>
      <c r="Q7" s="43">
        <f t="shared" si="8"/>
        <v>0.0387110512820513</v>
      </c>
      <c r="R7" s="43">
        <f t="shared" si="9"/>
        <v>2729.12911538462</v>
      </c>
      <c r="S7" s="55">
        <f t="shared" si="10"/>
        <v>2.49748717948718</v>
      </c>
      <c r="T7" s="56">
        <f t="shared" si="11"/>
        <v>5869.09487179487</v>
      </c>
      <c r="U7" s="56">
        <f t="shared" si="12"/>
        <v>166.666666666667</v>
      </c>
      <c r="V7" s="56">
        <f t="shared" si="13"/>
        <v>78.1929847370201</v>
      </c>
      <c r="W7" s="56">
        <f t="shared" si="14"/>
        <v>233.333333333333</v>
      </c>
      <c r="X7" s="56">
        <v>0</v>
      </c>
      <c r="Y7" s="56">
        <f>((600000/4)*(43/30))/66</f>
        <v>3257.57575757576</v>
      </c>
      <c r="Z7" s="56">
        <f t="shared" si="15"/>
        <v>289.855072463768</v>
      </c>
      <c r="AA7" s="56">
        <f t="shared" si="16"/>
        <v>6403.80959566233</v>
      </c>
      <c r="AB7" s="62">
        <f t="shared" si="0"/>
        <v>8268.92758382485</v>
      </c>
      <c r="AC7" s="63">
        <f t="shared" si="1"/>
        <v>0.563557261516618</v>
      </c>
    </row>
    <row r="8" ht="24" spans="1:29">
      <c r="A8" s="21" t="s">
        <v>333</v>
      </c>
      <c r="B8" s="21" t="s">
        <v>60</v>
      </c>
      <c r="C8" s="21" t="s">
        <v>12</v>
      </c>
      <c r="D8" s="21">
        <f>VLOOKUP(B8,'RPA RoadMap'!B:R,3,)</f>
        <v>5310</v>
      </c>
      <c r="E8" s="21" t="str">
        <f>VLOOKUP(B8,'RPA RoadMap'!B:AA,4,FALSE)</f>
        <v>NON-OCR</v>
      </c>
      <c r="F8" s="24" t="str">
        <f>VLOOKUP(B8,'RPA RoadMap'!B:R,5,FALSE)</f>
        <v>Based on requirement</v>
      </c>
      <c r="G8" s="21" t="str">
        <f>VLOOKUP(B8,'RPA RoadMap'!B:R,13,FALSE)</f>
        <v>Complex</v>
      </c>
      <c r="H8" s="21">
        <f>VLOOKUP(B8,'RPA RoadMap'!B:R,6,FALSE)</f>
        <v>10</v>
      </c>
      <c r="I8" s="40">
        <f t="shared" si="2"/>
        <v>0.680769230769231</v>
      </c>
      <c r="J8" s="41">
        <f t="shared" si="3"/>
        <v>1089.23076923077</v>
      </c>
      <c r="K8" s="41">
        <f t="shared" si="4"/>
        <v>244.736538461538</v>
      </c>
      <c r="L8" s="41">
        <f t="shared" si="5"/>
        <v>119.883461538462</v>
      </c>
      <c r="M8" s="41">
        <f t="shared" si="6"/>
        <v>145.956923076923</v>
      </c>
      <c r="N8" s="42">
        <f t="shared" si="7"/>
        <v>1599.80769230769</v>
      </c>
      <c r="O8" s="43">
        <f>I8*0.6</f>
        <v>0.408461538461538</v>
      </c>
      <c r="P8" s="43">
        <f>(180-163)/60</f>
        <v>0.283333333333333</v>
      </c>
      <c r="Q8" s="43">
        <f t="shared" si="8"/>
        <v>0.00231461538461538</v>
      </c>
      <c r="R8" s="43">
        <f t="shared" si="9"/>
        <v>163.180384615385</v>
      </c>
      <c r="S8" s="55">
        <f t="shared" si="10"/>
        <v>0.272307692307692</v>
      </c>
      <c r="T8" s="56">
        <f t="shared" si="11"/>
        <v>639.923076923077</v>
      </c>
      <c r="U8" s="56">
        <f t="shared" si="12"/>
        <v>166.666666666667</v>
      </c>
      <c r="V8" s="56">
        <f t="shared" si="13"/>
        <v>4.67532343987823</v>
      </c>
      <c r="W8" s="56">
        <f t="shared" si="14"/>
        <v>233.333333333333</v>
      </c>
      <c r="X8" s="56">
        <v>0</v>
      </c>
      <c r="Y8" s="56">
        <f>(((600000/4))*(43/30))/66</f>
        <v>3257.57575757576</v>
      </c>
      <c r="Z8" s="56">
        <f t="shared" si="15"/>
        <v>289.855072463768</v>
      </c>
      <c r="AA8" s="56">
        <f t="shared" si="16"/>
        <v>1101.12013949339</v>
      </c>
      <c r="AB8" s="62">
        <f t="shared" si="0"/>
        <v>498.687552814302</v>
      </c>
      <c r="AC8" s="63">
        <f t="shared" si="1"/>
        <v>0.311717186516934</v>
      </c>
    </row>
    <row r="9" spans="1:29">
      <c r="A9" s="21" t="s">
        <v>333</v>
      </c>
      <c r="B9" s="21" t="s">
        <v>61</v>
      </c>
      <c r="C9" s="21" t="s">
        <v>12</v>
      </c>
      <c r="D9" s="21">
        <f>VLOOKUP(B9,'RPA RoadMap'!B:R,3,)</f>
        <v>53182</v>
      </c>
      <c r="E9" s="21" t="str">
        <f>VLOOKUP(B9,'RPA RoadMap'!B:AA,4,FALSE)</f>
        <v>NON-OCR</v>
      </c>
      <c r="F9" s="24" t="str">
        <f>VLOOKUP(B9,'RPA RoadMap'!B:R,5,FALSE)</f>
        <v>Daily</v>
      </c>
      <c r="G9" s="21" t="str">
        <f>VLOOKUP(B9,'RPA RoadMap'!B:R,13,FALSE)</f>
        <v>Simple</v>
      </c>
      <c r="H9" s="21">
        <v>5</v>
      </c>
      <c r="I9" s="40">
        <f t="shared" si="2"/>
        <v>3.40910256410256</v>
      </c>
      <c r="J9" s="41">
        <f t="shared" si="3"/>
        <v>5454.5641025641</v>
      </c>
      <c r="K9" s="41">
        <f t="shared" si="4"/>
        <v>1225.57237179487</v>
      </c>
      <c r="L9" s="41">
        <f t="shared" si="5"/>
        <v>600.342961538461</v>
      </c>
      <c r="M9" s="41">
        <f t="shared" si="6"/>
        <v>730.91158974359</v>
      </c>
      <c r="N9" s="42">
        <f t="shared" si="7"/>
        <v>8011.39102564102</v>
      </c>
      <c r="O9" s="43">
        <f t="shared" ref="O9:O10" si="17">I9*0.8</f>
        <v>2.72728205128205</v>
      </c>
      <c r="P9" s="43">
        <f>(24)/60</f>
        <v>0.4</v>
      </c>
      <c r="Q9" s="43">
        <f t="shared" si="8"/>
        <v>0.0327273846153846</v>
      </c>
      <c r="R9" s="43">
        <f t="shared" si="9"/>
        <v>2307.28061538462</v>
      </c>
      <c r="S9" s="55">
        <f t="shared" si="10"/>
        <v>0.681820512820512</v>
      </c>
      <c r="T9" s="56">
        <f t="shared" si="11"/>
        <v>1602.2782051282</v>
      </c>
      <c r="U9" s="56">
        <f t="shared" si="12"/>
        <v>166.666666666667</v>
      </c>
      <c r="V9" s="56">
        <f t="shared" si="13"/>
        <v>66.1064941653983</v>
      </c>
      <c r="W9" s="56">
        <f t="shared" si="14"/>
        <v>233.333333333333</v>
      </c>
      <c r="X9" s="56">
        <v>0</v>
      </c>
      <c r="Y9" s="56">
        <f>(((600000/4)/22)*24)/66</f>
        <v>2479.33884297521</v>
      </c>
      <c r="Z9" s="56">
        <f t="shared" si="15"/>
        <v>289.855072463768</v>
      </c>
      <c r="AA9" s="56">
        <f t="shared" si="16"/>
        <v>2124.90643842404</v>
      </c>
      <c r="AB9" s="62">
        <f t="shared" si="0"/>
        <v>5886.48458721699</v>
      </c>
      <c r="AC9" s="63">
        <f t="shared" si="1"/>
        <v>0.734764358446227</v>
      </c>
    </row>
    <row r="10" ht="24" spans="1:29">
      <c r="A10" s="21" t="s">
        <v>333</v>
      </c>
      <c r="B10" s="21" t="s">
        <v>63</v>
      </c>
      <c r="C10" s="21" t="s">
        <v>12</v>
      </c>
      <c r="D10" s="21">
        <f>VLOOKUP(B10,'RPA RoadMap'!B:R,3,)</f>
        <v>5000</v>
      </c>
      <c r="E10" s="21" t="str">
        <f>VLOOKUP(B10,'RPA RoadMap'!B:AA,4,FALSE)</f>
        <v>NON-OCR</v>
      </c>
      <c r="F10" s="24" t="str">
        <f>VLOOKUP(B10,'RPA RoadMap'!B:R,5,FALSE)</f>
        <v>Based on requirement</v>
      </c>
      <c r="G10" s="21" t="str">
        <f>VLOOKUP(B10,'RPA RoadMap'!B:R,13,FALSE)</f>
        <v>Simple</v>
      </c>
      <c r="H10" s="21">
        <f>VLOOKUP(B10,'RPA RoadMap'!B:R,6,FALSE)</f>
        <v>10</v>
      </c>
      <c r="I10" s="40">
        <f t="shared" si="2"/>
        <v>0.641025641025641</v>
      </c>
      <c r="J10" s="41">
        <f t="shared" si="3"/>
        <v>1025.64102564103</v>
      </c>
      <c r="K10" s="41">
        <f t="shared" si="4"/>
        <v>230.448717948718</v>
      </c>
      <c r="L10" s="41">
        <f t="shared" si="5"/>
        <v>112.884615384615</v>
      </c>
      <c r="M10" s="41">
        <f t="shared" si="6"/>
        <v>137.435897435897</v>
      </c>
      <c r="N10" s="42">
        <f t="shared" si="7"/>
        <v>1506.41025641026</v>
      </c>
      <c r="O10" s="43">
        <f t="shared" si="17"/>
        <v>0.512820512820513</v>
      </c>
      <c r="P10" s="43">
        <f>24/60</f>
        <v>0.4</v>
      </c>
      <c r="Q10" s="43">
        <f t="shared" si="8"/>
        <v>0.00307692307692308</v>
      </c>
      <c r="R10" s="43">
        <f t="shared" si="9"/>
        <v>216.923076923077</v>
      </c>
      <c r="S10" s="55">
        <f t="shared" si="10"/>
        <v>0.128205128205128</v>
      </c>
      <c r="T10" s="56">
        <f t="shared" si="11"/>
        <v>301.282051282051</v>
      </c>
      <c r="U10" s="56">
        <f t="shared" si="12"/>
        <v>166.666666666667</v>
      </c>
      <c r="V10" s="56">
        <f t="shared" si="13"/>
        <v>6.21511922881786</v>
      </c>
      <c r="W10" s="56">
        <f t="shared" si="14"/>
        <v>233.333333333333</v>
      </c>
      <c r="X10" s="56">
        <v>0</v>
      </c>
      <c r="Y10" s="56">
        <f>(((600000/4)/22)*24)/66</f>
        <v>2479.33884297521</v>
      </c>
      <c r="Z10" s="56">
        <f t="shared" si="15"/>
        <v>289.855072463768</v>
      </c>
      <c r="AA10" s="56">
        <f t="shared" si="16"/>
        <v>764.018909641304</v>
      </c>
      <c r="AB10" s="62">
        <f t="shared" si="0"/>
        <v>742.391346768953</v>
      </c>
      <c r="AC10" s="63">
        <f t="shared" si="1"/>
        <v>0.492821489770028</v>
      </c>
    </row>
    <row r="11" spans="1:29">
      <c r="A11" s="21" t="s">
        <v>333</v>
      </c>
      <c r="B11" s="21" t="s">
        <v>65</v>
      </c>
      <c r="C11" s="21" t="s">
        <v>12</v>
      </c>
      <c r="D11" s="21">
        <f>VLOOKUP(B11,'RPA RoadMap'!B:R,3,)</f>
        <v>5000</v>
      </c>
      <c r="E11" s="21" t="str">
        <f>VLOOKUP(B11,'RPA RoadMap'!B:AA,4,FALSE)</f>
        <v>NON-OCR</v>
      </c>
      <c r="F11" s="24" t="str">
        <f>VLOOKUP(B11,'RPA RoadMap'!B:R,5,FALSE)</f>
        <v>Daily</v>
      </c>
      <c r="G11" s="21" t="str">
        <f>VLOOKUP(B11,'RPA RoadMap'!B:R,13,FALSE)</f>
        <v>Complex</v>
      </c>
      <c r="H11" s="21">
        <f>VLOOKUP(B11,'RPA RoadMap'!B:R,6,FALSE)</f>
        <v>10</v>
      </c>
      <c r="I11" s="40">
        <f t="shared" si="2"/>
        <v>0.641025641025641</v>
      </c>
      <c r="J11" s="41">
        <f t="shared" si="3"/>
        <v>1025.64102564103</v>
      </c>
      <c r="K11" s="41">
        <f t="shared" si="4"/>
        <v>230.448717948718</v>
      </c>
      <c r="L11" s="41">
        <f t="shared" si="5"/>
        <v>112.884615384615</v>
      </c>
      <c r="M11" s="41">
        <f t="shared" si="6"/>
        <v>137.435897435897</v>
      </c>
      <c r="N11" s="42">
        <f t="shared" si="7"/>
        <v>1506.41025641026</v>
      </c>
      <c r="O11" s="43">
        <f>I11*0.6</f>
        <v>0.384615384615385</v>
      </c>
      <c r="P11" s="43">
        <f>(127-80)/60</f>
        <v>0.783333333333333</v>
      </c>
      <c r="Q11" s="43">
        <f t="shared" si="8"/>
        <v>0.00602564102564102</v>
      </c>
      <c r="R11" s="43">
        <f t="shared" si="9"/>
        <v>424.807692307692</v>
      </c>
      <c r="S11" s="55">
        <f t="shared" si="10"/>
        <v>0.256410256410256</v>
      </c>
      <c r="T11" s="56">
        <f t="shared" si="11"/>
        <v>602.564102564103</v>
      </c>
      <c r="U11" s="56">
        <f t="shared" si="12"/>
        <v>166.666666666667</v>
      </c>
      <c r="V11" s="56">
        <f t="shared" si="13"/>
        <v>12.171275156435</v>
      </c>
      <c r="W11" s="56">
        <f t="shared" si="14"/>
        <v>233.333333333333</v>
      </c>
      <c r="X11" s="56">
        <v>0</v>
      </c>
      <c r="Y11" s="56">
        <f>((600000/4)*(43/30))/66</f>
        <v>3257.57575757576</v>
      </c>
      <c r="Z11" s="56">
        <f t="shared" si="15"/>
        <v>289.855072463768</v>
      </c>
      <c r="AA11" s="56">
        <f t="shared" si="16"/>
        <v>1071.25711685097</v>
      </c>
      <c r="AB11" s="62">
        <f t="shared" si="0"/>
        <v>435.153139559284</v>
      </c>
      <c r="AC11" s="63">
        <f t="shared" si="1"/>
        <v>0.288867616047865</v>
      </c>
    </row>
    <row r="12" ht="24" spans="1:29">
      <c r="A12" s="21" t="s">
        <v>333</v>
      </c>
      <c r="B12" s="21" t="s">
        <v>66</v>
      </c>
      <c r="C12" s="21" t="s">
        <v>12</v>
      </c>
      <c r="D12" s="21">
        <f>VLOOKUP(B12,'RPA RoadMap'!B:R,3,)</f>
        <v>6316</v>
      </c>
      <c r="E12" s="21" t="str">
        <f>VLOOKUP(B12,'RPA RoadMap'!B:AA,4,FALSE)</f>
        <v>NON-OCR</v>
      </c>
      <c r="F12" s="24" t="str">
        <f>VLOOKUP(B12,'RPA RoadMap'!B:R,5,FALSE)</f>
        <v>Based on requirement</v>
      </c>
      <c r="G12" s="21" t="str">
        <f>VLOOKUP(B12,'RPA RoadMap'!B:R,13,FALSE)</f>
        <v>Medium</v>
      </c>
      <c r="H12" s="21">
        <f>VLOOKUP(B12,'RPA RoadMap'!B:R,6,FALSE)</f>
        <v>10</v>
      </c>
      <c r="I12" s="40">
        <f t="shared" si="2"/>
        <v>0.80974358974359</v>
      </c>
      <c r="J12" s="41">
        <f t="shared" si="3"/>
        <v>1295.58974358974</v>
      </c>
      <c r="K12" s="41">
        <f t="shared" si="4"/>
        <v>291.102820512821</v>
      </c>
      <c r="L12" s="41">
        <f t="shared" si="5"/>
        <v>142.595846153846</v>
      </c>
      <c r="M12" s="41">
        <f t="shared" si="6"/>
        <v>173.609025641026</v>
      </c>
      <c r="N12" s="42">
        <f t="shared" si="7"/>
        <v>1902.89743589744</v>
      </c>
      <c r="O12" s="43">
        <f>I12*0.7</f>
        <v>0.566820512820513</v>
      </c>
      <c r="P12" s="43">
        <v>8</v>
      </c>
      <c r="Q12" s="43">
        <f t="shared" si="8"/>
        <v>0.0777353846153846</v>
      </c>
      <c r="R12" s="43">
        <f t="shared" si="9"/>
        <v>5480.34461538462</v>
      </c>
      <c r="S12" s="55">
        <f t="shared" si="10"/>
        <v>0.242923076923077</v>
      </c>
      <c r="T12" s="56">
        <f t="shared" si="11"/>
        <v>570.869230769231</v>
      </c>
      <c r="U12" s="56">
        <f t="shared" si="12"/>
        <v>166.666666666667</v>
      </c>
      <c r="V12" s="56">
        <f t="shared" si="13"/>
        <v>157.018772196854</v>
      </c>
      <c r="W12" s="56">
        <f t="shared" si="14"/>
        <v>233.333333333333</v>
      </c>
      <c r="X12" s="56">
        <v>0</v>
      </c>
      <c r="Y12" s="56">
        <f>(((600000/4)/22)*29)/66</f>
        <v>2995.86776859504</v>
      </c>
      <c r="Z12" s="56">
        <f t="shared" si="15"/>
        <v>289.855072463768</v>
      </c>
      <c r="AA12" s="56">
        <f t="shared" si="16"/>
        <v>1184.40974209652</v>
      </c>
      <c r="AB12" s="62">
        <f t="shared" si="0"/>
        <v>718.487693800916</v>
      </c>
      <c r="AC12" s="63">
        <f t="shared" si="1"/>
        <v>0.377575627696438</v>
      </c>
    </row>
    <row r="13" spans="1:29">
      <c r="A13" s="21">
        <v>0</v>
      </c>
      <c r="B13" s="24" t="s">
        <v>18</v>
      </c>
      <c r="C13" s="21" t="s">
        <v>19</v>
      </c>
      <c r="D13" s="21">
        <f>VLOOKUP(B13,'RPA RoadMap'!B:R,3,)</f>
        <v>7168</v>
      </c>
      <c r="E13" s="21" t="str">
        <f>VLOOKUP(B13,'RPA RoadMap'!B:AA,4,FALSE)</f>
        <v>NON-OCR</v>
      </c>
      <c r="F13" s="24" t="str">
        <f>VLOOKUP(B13,'RPA RoadMap'!B:R,5,FALSE)</f>
        <v>Daily</v>
      </c>
      <c r="G13" s="21" t="str">
        <f>VLOOKUP(B13,'RPA RoadMap'!B:R,13,FALSE)</f>
        <v>Complex</v>
      </c>
      <c r="H13" s="21">
        <f>VLOOKUP(B13,'RPA RoadMap'!B:R,6,FALSE)</f>
        <v>10</v>
      </c>
      <c r="I13" s="40">
        <f t="shared" si="2"/>
        <v>0.918974358974359</v>
      </c>
      <c r="J13" s="41">
        <f t="shared" si="3"/>
        <v>1470.35897435897</v>
      </c>
      <c r="K13" s="41">
        <f t="shared" si="4"/>
        <v>330.371282051282</v>
      </c>
      <c r="L13" s="41">
        <f t="shared" si="5"/>
        <v>161.831384615385</v>
      </c>
      <c r="M13" s="41">
        <f t="shared" si="6"/>
        <v>197.028102564103</v>
      </c>
      <c r="N13" s="42">
        <f t="shared" si="7"/>
        <v>2159.58974358974</v>
      </c>
      <c r="O13" s="43">
        <f t="shared" ref="O13:O19" si="18">I13*0.6</f>
        <v>0.551384615384615</v>
      </c>
      <c r="P13" s="43">
        <v>8</v>
      </c>
      <c r="Q13" s="43">
        <f t="shared" si="8"/>
        <v>0.0882215384615385</v>
      </c>
      <c r="R13" s="43">
        <f t="shared" si="9"/>
        <v>6219.61846153846</v>
      </c>
      <c r="S13" s="55">
        <f t="shared" si="10"/>
        <v>0.367589743589744</v>
      </c>
      <c r="T13" s="56">
        <f t="shared" si="11"/>
        <v>863.835897435897</v>
      </c>
      <c r="U13" s="56">
        <f t="shared" si="12"/>
        <v>166.666666666667</v>
      </c>
      <c r="V13" s="56">
        <f t="shared" si="13"/>
        <v>178.199898528666</v>
      </c>
      <c r="W13" s="56">
        <f t="shared" si="14"/>
        <v>233.333333333333</v>
      </c>
      <c r="X13" s="56">
        <v>0</v>
      </c>
      <c r="Y13" s="56">
        <f>(((600000/4)/22)*29)/66</f>
        <v>2995.86776859504</v>
      </c>
      <c r="Z13" s="56">
        <f t="shared" si="15"/>
        <v>289.855072463768</v>
      </c>
      <c r="AA13" s="56">
        <f t="shared" si="16"/>
        <v>1498.557535095</v>
      </c>
      <c r="AB13" s="62">
        <f t="shared" si="0"/>
        <v>661.032208494745</v>
      </c>
      <c r="AC13" s="63">
        <f t="shared" si="1"/>
        <v>0.306091566908423</v>
      </c>
    </row>
    <row r="14" spans="1:29">
      <c r="A14" s="21">
        <v>0</v>
      </c>
      <c r="B14" s="24" t="s">
        <v>54</v>
      </c>
      <c r="C14" s="21" t="s">
        <v>19</v>
      </c>
      <c r="D14" s="21">
        <f>VLOOKUP(B14,'RPA RoadMap'!B:R,3,)</f>
        <v>12829</v>
      </c>
      <c r="E14" s="21" t="str">
        <f>VLOOKUP(B14,'RPA RoadMap'!B:AA,4,FALSE)</f>
        <v>NON-OCR</v>
      </c>
      <c r="F14" s="24" t="str">
        <f>VLOOKUP(B14,'RPA RoadMap'!B:R,5,FALSE)</f>
        <v>Monthly</v>
      </c>
      <c r="G14" s="21" t="str">
        <f>VLOOKUP(B14,'RPA RoadMap'!B:R,13,FALSE)</f>
        <v>Complex</v>
      </c>
      <c r="H14" s="21">
        <f>VLOOKUP(B14,'RPA RoadMap'!B:R,6,FALSE)</f>
        <v>10</v>
      </c>
      <c r="I14" s="40">
        <f t="shared" si="2"/>
        <v>1.64474358974359</v>
      </c>
      <c r="J14" s="41">
        <f t="shared" si="3"/>
        <v>2631.58974358974</v>
      </c>
      <c r="K14" s="41">
        <f t="shared" si="4"/>
        <v>591.28532051282</v>
      </c>
      <c r="L14" s="41">
        <f t="shared" si="5"/>
        <v>289.639346153846</v>
      </c>
      <c r="M14" s="41">
        <f t="shared" si="6"/>
        <v>352.633025641026</v>
      </c>
      <c r="N14" s="42">
        <f t="shared" si="7"/>
        <v>3865.14743589744</v>
      </c>
      <c r="O14" s="43">
        <f t="shared" si="18"/>
        <v>0.986846153846154</v>
      </c>
      <c r="P14" s="43">
        <v>8</v>
      </c>
      <c r="Q14" s="43">
        <f t="shared" si="8"/>
        <v>0.157895384615385</v>
      </c>
      <c r="R14" s="43">
        <f t="shared" si="9"/>
        <v>11131.6246153846</v>
      </c>
      <c r="S14" s="55">
        <f t="shared" si="10"/>
        <v>0.657897435897436</v>
      </c>
      <c r="T14" s="56">
        <f t="shared" si="11"/>
        <v>1546.05897435897</v>
      </c>
      <c r="U14" s="56">
        <f t="shared" si="12"/>
        <v>166.666666666667</v>
      </c>
      <c r="V14" s="56">
        <f t="shared" si="13"/>
        <v>318.935058346017</v>
      </c>
      <c r="W14" s="56">
        <f t="shared" si="14"/>
        <v>233.333333333333</v>
      </c>
      <c r="X14" s="56">
        <v>0</v>
      </c>
      <c r="Y14" s="56">
        <f>(((600000/4)/22)*29)/66</f>
        <v>2995.86776859504</v>
      </c>
      <c r="Z14" s="56">
        <f t="shared" si="15"/>
        <v>289.855072463768</v>
      </c>
      <c r="AA14" s="56">
        <f t="shared" si="16"/>
        <v>2321.51577183543</v>
      </c>
      <c r="AB14" s="62">
        <f t="shared" si="0"/>
        <v>1543.63166406201</v>
      </c>
      <c r="AC14" s="63">
        <f t="shared" si="1"/>
        <v>0.399372000593193</v>
      </c>
    </row>
    <row r="15" spans="1:29">
      <c r="A15" s="21">
        <v>1</v>
      </c>
      <c r="B15" s="24" t="s">
        <v>190</v>
      </c>
      <c r="C15" s="21" t="s">
        <v>19</v>
      </c>
      <c r="D15" s="21">
        <f>VLOOKUP(B15,'RPA_SOP_Analysis_ABG Team SI-2'!A:G,4,)</f>
        <v>14999</v>
      </c>
      <c r="E15" s="21" t="s">
        <v>34</v>
      </c>
      <c r="F15" s="24">
        <f>VLOOKUP(B15,'RPA_SOP_Analysis_ABG Team SI-2'!A:G,6,FALSE)</f>
        <v>0</v>
      </c>
      <c r="G15" s="21" t="s">
        <v>20</v>
      </c>
      <c r="H15" s="21">
        <v>30</v>
      </c>
      <c r="I15" s="40">
        <f t="shared" si="2"/>
        <v>5.76884615384615</v>
      </c>
      <c r="J15" s="41">
        <f t="shared" si="3"/>
        <v>9230.15384615385</v>
      </c>
      <c r="K15" s="41">
        <f t="shared" si="4"/>
        <v>2073.90019230769</v>
      </c>
      <c r="L15" s="41">
        <f t="shared" si="5"/>
        <v>1015.89380769231</v>
      </c>
      <c r="M15" s="41">
        <f t="shared" si="6"/>
        <v>1236.84061538462</v>
      </c>
      <c r="N15" s="42">
        <f t="shared" si="7"/>
        <v>13556.7884615385</v>
      </c>
      <c r="O15" s="43">
        <f t="shared" si="18"/>
        <v>3.46130769230769</v>
      </c>
      <c r="P15" s="43">
        <v>8</v>
      </c>
      <c r="Q15" s="43">
        <f t="shared" si="8"/>
        <v>0.184603076923077</v>
      </c>
      <c r="R15" s="43">
        <f t="shared" si="9"/>
        <v>13014.5169230769</v>
      </c>
      <c r="S15" s="55">
        <f t="shared" si="10"/>
        <v>2.30753846153846</v>
      </c>
      <c r="T15" s="56">
        <f t="shared" si="11"/>
        <v>5422.71538461539</v>
      </c>
      <c r="U15" s="56">
        <f t="shared" si="12"/>
        <v>166.666666666667</v>
      </c>
      <c r="V15" s="56">
        <f t="shared" si="13"/>
        <v>372.882293252156</v>
      </c>
      <c r="W15" s="56">
        <f t="shared" si="14"/>
        <v>233.333333333333</v>
      </c>
      <c r="X15" s="56">
        <f>(1400000/365)/8</f>
        <v>479.452054794521</v>
      </c>
      <c r="Y15" s="56">
        <f>((600000/4)*(58/30))/66</f>
        <v>4393.93939393939</v>
      </c>
      <c r="Z15" s="56">
        <f t="shared" si="15"/>
        <v>289.855072463768</v>
      </c>
      <c r="AA15" s="56">
        <f t="shared" si="16"/>
        <v>6731.5714717925</v>
      </c>
      <c r="AB15" s="62">
        <f t="shared" si="0"/>
        <v>6825.21698974597</v>
      </c>
      <c r="AC15" s="63">
        <f t="shared" si="1"/>
        <v>0.503453823824837</v>
      </c>
    </row>
    <row r="16" ht="24" spans="1:29">
      <c r="A16" s="21">
        <v>2</v>
      </c>
      <c r="B16" s="24" t="s">
        <v>41</v>
      </c>
      <c r="C16" s="21" t="s">
        <v>19</v>
      </c>
      <c r="D16" s="21">
        <f>VLOOKUP(B16,'RPA RoadMap'!B:R,3,)</f>
        <v>8925</v>
      </c>
      <c r="E16" s="21" t="str">
        <f>VLOOKUP(B16,'RPA RoadMap'!B:AA,4,FALSE)</f>
        <v>OCR</v>
      </c>
      <c r="F16" s="24" t="str">
        <f>VLOOKUP(B16,'RPA RoadMap'!B:R,5,FALSE)</f>
        <v>Daily</v>
      </c>
      <c r="G16" s="21" t="str">
        <f>VLOOKUP(B16,'RPA RoadMap'!B:R,13,FALSE)</f>
        <v>Complex</v>
      </c>
      <c r="H16" s="21">
        <f>VLOOKUP(B16,'RPA RoadMap'!B:R,6,FALSE)</f>
        <v>25</v>
      </c>
      <c r="I16" s="40">
        <f t="shared" si="2"/>
        <v>2.86057692307692</v>
      </c>
      <c r="J16" s="41">
        <f t="shared" si="3"/>
        <v>4576.92307692308</v>
      </c>
      <c r="K16" s="41">
        <f t="shared" si="4"/>
        <v>1028.37740384615</v>
      </c>
      <c r="L16" s="41">
        <f t="shared" si="5"/>
        <v>503.747596153846</v>
      </c>
      <c r="M16" s="41">
        <f t="shared" si="6"/>
        <v>613.307692307692</v>
      </c>
      <c r="N16" s="42">
        <f t="shared" si="7"/>
        <v>6722.35576923077</v>
      </c>
      <c r="O16" s="43">
        <f t="shared" si="18"/>
        <v>1.71634615384615</v>
      </c>
      <c r="P16" s="43">
        <v>8</v>
      </c>
      <c r="Q16" s="43">
        <f t="shared" si="8"/>
        <v>0.109846153846154</v>
      </c>
      <c r="R16" s="43">
        <f t="shared" si="9"/>
        <v>7744.15384615385</v>
      </c>
      <c r="S16" s="55">
        <f t="shared" si="10"/>
        <v>1.14423076923077</v>
      </c>
      <c r="T16" s="56">
        <f t="shared" si="11"/>
        <v>2688.94230769231</v>
      </c>
      <c r="U16" s="56">
        <f t="shared" si="12"/>
        <v>166.666666666667</v>
      </c>
      <c r="V16" s="56">
        <f t="shared" si="13"/>
        <v>221.879756468798</v>
      </c>
      <c r="W16" s="56">
        <f t="shared" si="14"/>
        <v>233.333333333333</v>
      </c>
      <c r="X16" s="56">
        <f t="shared" ref="X16:X26" si="19">(1400000/365)/8</f>
        <v>479.452054794521</v>
      </c>
      <c r="Y16" s="56">
        <f>((600000/4)*(58/30))/66</f>
        <v>4393.93939393939</v>
      </c>
      <c r="Z16" s="56">
        <f t="shared" si="15"/>
        <v>289.855072463768</v>
      </c>
      <c r="AA16" s="56">
        <f t="shared" si="16"/>
        <v>3846.79585808606</v>
      </c>
      <c r="AB16" s="62">
        <f t="shared" si="0"/>
        <v>2875.55991114471</v>
      </c>
      <c r="AC16" s="63">
        <f t="shared" si="1"/>
        <v>0.42776074487259</v>
      </c>
    </row>
    <row r="17" ht="36" spans="1:29">
      <c r="A17" s="21">
        <v>2</v>
      </c>
      <c r="B17" s="24" t="s">
        <v>45</v>
      </c>
      <c r="C17" s="21" t="s">
        <v>19</v>
      </c>
      <c r="D17" s="21">
        <f>VLOOKUP(B17,'RPA RoadMap'!B:R,3,)</f>
        <v>5854</v>
      </c>
      <c r="E17" s="21" t="str">
        <f>VLOOKUP(B17,'RPA RoadMap'!B:AA,4,FALSE)</f>
        <v>OCR</v>
      </c>
      <c r="F17" s="24" t="str">
        <f>VLOOKUP(B17,'RPA RoadMap'!B:R,5,FALSE)</f>
        <v>Daily</v>
      </c>
      <c r="G17" s="21" t="str">
        <f>VLOOKUP(B17,'RPA RoadMap'!B:R,13,FALSE)</f>
        <v>Complex</v>
      </c>
      <c r="H17" s="21">
        <f>VLOOKUP(B17,'RPA RoadMap'!B:R,6,FALSE)</f>
        <v>25</v>
      </c>
      <c r="I17" s="40">
        <f t="shared" si="2"/>
        <v>1.87628205128205</v>
      </c>
      <c r="J17" s="41">
        <f t="shared" si="3"/>
        <v>3002.05128205128</v>
      </c>
      <c r="K17" s="41">
        <f t="shared" si="4"/>
        <v>674.523397435897</v>
      </c>
      <c r="L17" s="41">
        <f t="shared" si="5"/>
        <v>330.413269230769</v>
      </c>
      <c r="M17" s="41">
        <f t="shared" si="6"/>
        <v>402.274871794872</v>
      </c>
      <c r="N17" s="42">
        <f t="shared" si="7"/>
        <v>4409.26282051282</v>
      </c>
      <c r="O17" s="43">
        <f t="shared" si="18"/>
        <v>1.12576923076923</v>
      </c>
      <c r="P17" s="43">
        <v>8</v>
      </c>
      <c r="Q17" s="43">
        <f t="shared" si="8"/>
        <v>0.0720492307692308</v>
      </c>
      <c r="R17" s="43">
        <f t="shared" si="9"/>
        <v>5079.47076923077</v>
      </c>
      <c r="S17" s="55">
        <f t="shared" si="10"/>
        <v>0.750512820512821</v>
      </c>
      <c r="T17" s="56">
        <f t="shared" si="11"/>
        <v>1763.70512820513</v>
      </c>
      <c r="U17" s="56">
        <f t="shared" si="12"/>
        <v>166.666666666667</v>
      </c>
      <c r="V17" s="56">
        <f t="shared" si="13"/>
        <v>145.533231861999</v>
      </c>
      <c r="W17" s="56">
        <f t="shared" si="14"/>
        <v>233.333333333333</v>
      </c>
      <c r="X17" s="56">
        <f t="shared" si="19"/>
        <v>479.452054794521</v>
      </c>
      <c r="Y17" s="56">
        <f>((600000/4)*(58/30))/66</f>
        <v>4393.93939393939</v>
      </c>
      <c r="Z17" s="56">
        <f t="shared" si="15"/>
        <v>289.855072463768</v>
      </c>
      <c r="AA17" s="56">
        <f t="shared" si="16"/>
        <v>2845.21215399208</v>
      </c>
      <c r="AB17" s="62">
        <f t="shared" si="0"/>
        <v>1564.05066652074</v>
      </c>
      <c r="AC17" s="63">
        <f t="shared" si="1"/>
        <v>0.354719310276639</v>
      </c>
    </row>
    <row r="18" spans="1:29">
      <c r="A18" s="21">
        <v>3</v>
      </c>
      <c r="B18" s="24" t="s">
        <v>517</v>
      </c>
      <c r="C18" s="21" t="s">
        <v>19</v>
      </c>
      <c r="D18" s="21">
        <f>VLOOKUP(B18,'RPA_SOP_Analysis_ABG Team SI-2'!A:G,4,)</f>
        <v>540</v>
      </c>
      <c r="E18" s="21" t="str">
        <f>VLOOKUP(B18,'RPA_SOP_Analysis_ABG Team SI-2'!A:G,5,FALSE)</f>
        <v>OCR</v>
      </c>
      <c r="F18" s="24" t="str">
        <f>VLOOKUP(B18,'RPA_SOP_Analysis_ABG Team SI-2'!A:G,6,FALSE)</f>
        <v>Yearly</v>
      </c>
      <c r="G18" s="21" t="s">
        <v>20</v>
      </c>
      <c r="H18" s="21">
        <v>120</v>
      </c>
      <c r="I18" s="40">
        <f t="shared" si="2"/>
        <v>0.830769230769231</v>
      </c>
      <c r="J18" s="41">
        <f t="shared" si="3"/>
        <v>1329.23076923077</v>
      </c>
      <c r="K18" s="41">
        <f t="shared" si="4"/>
        <v>298.661538461538</v>
      </c>
      <c r="L18" s="41">
        <f t="shared" si="5"/>
        <v>146.298461538462</v>
      </c>
      <c r="M18" s="41">
        <f t="shared" si="6"/>
        <v>178.116923076923</v>
      </c>
      <c r="N18" s="42">
        <f t="shared" si="7"/>
        <v>1952.30769230769</v>
      </c>
      <c r="O18" s="43">
        <f t="shared" si="18"/>
        <v>0.498461538461538</v>
      </c>
      <c r="P18" s="43">
        <v>8</v>
      </c>
      <c r="Q18" s="43">
        <f t="shared" si="8"/>
        <v>0.00664615384615385</v>
      </c>
      <c r="R18" s="43">
        <f t="shared" si="9"/>
        <v>468.553846153846</v>
      </c>
      <c r="S18" s="55">
        <f t="shared" si="10"/>
        <v>0.332307692307692</v>
      </c>
      <c r="T18" s="56">
        <f t="shared" si="11"/>
        <v>780.923076923077</v>
      </c>
      <c r="U18" s="56">
        <f t="shared" si="12"/>
        <v>166.666666666667</v>
      </c>
      <c r="V18" s="56">
        <f t="shared" si="13"/>
        <v>13.4246575342466</v>
      </c>
      <c r="W18" s="56">
        <f t="shared" si="14"/>
        <v>233.333333333333</v>
      </c>
      <c r="X18" s="56">
        <f t="shared" si="19"/>
        <v>479.452054794521</v>
      </c>
      <c r="Y18" s="56">
        <f>((600000/4)*(58/30))/66</f>
        <v>4393.93939393939</v>
      </c>
      <c r="Z18" s="56">
        <f t="shared" si="15"/>
        <v>289.855072463768</v>
      </c>
      <c r="AA18" s="56">
        <f t="shared" si="16"/>
        <v>1730.32152838228</v>
      </c>
      <c r="AB18" s="62">
        <f t="shared" si="0"/>
        <v>221.986163925413</v>
      </c>
      <c r="AC18" s="63">
        <f t="shared" si="1"/>
        <v>0.11370449688851</v>
      </c>
    </row>
    <row r="19" spans="1:29">
      <c r="A19" s="21">
        <v>4</v>
      </c>
      <c r="B19" s="24" t="s">
        <v>512</v>
      </c>
      <c r="C19" s="21" t="s">
        <v>19</v>
      </c>
      <c r="D19" s="21">
        <f>VLOOKUP(B19,'RPA_SOP_Analysis_ABG Team SI-2'!A:G,4,)</f>
        <v>2700</v>
      </c>
      <c r="E19" s="21" t="str">
        <f>VLOOKUP(B19,'RPA_SOP_Analysis_ABG Team SI-2'!A:G,5,FALSE)</f>
        <v>OCR</v>
      </c>
      <c r="F19" s="24" t="str">
        <f>VLOOKUP(B19,'RPA_SOP_Analysis_ABG Team SI-2'!A:G,6,FALSE)</f>
        <v>Yearly</v>
      </c>
      <c r="G19" s="21" t="s">
        <v>20</v>
      </c>
      <c r="H19" s="21">
        <v>120</v>
      </c>
      <c r="I19" s="40">
        <f t="shared" si="2"/>
        <v>4.15384615384615</v>
      </c>
      <c r="J19" s="41">
        <f t="shared" si="3"/>
        <v>6646.15384615385</v>
      </c>
      <c r="K19" s="41">
        <f t="shared" si="4"/>
        <v>1493.30769230769</v>
      </c>
      <c r="L19" s="41">
        <f t="shared" si="5"/>
        <v>731.492307692308</v>
      </c>
      <c r="M19" s="41">
        <f t="shared" si="6"/>
        <v>890.584615384616</v>
      </c>
      <c r="N19" s="42">
        <f t="shared" si="7"/>
        <v>9761.53846153846</v>
      </c>
      <c r="O19" s="43">
        <f t="shared" si="18"/>
        <v>2.49230769230769</v>
      </c>
      <c r="P19" s="43">
        <v>8</v>
      </c>
      <c r="Q19" s="43">
        <f t="shared" si="8"/>
        <v>0.0332307692307692</v>
      </c>
      <c r="R19" s="43">
        <f t="shared" si="9"/>
        <v>2342.76923076923</v>
      </c>
      <c r="S19" s="55">
        <f t="shared" si="10"/>
        <v>1.66153846153846</v>
      </c>
      <c r="T19" s="56">
        <f t="shared" si="11"/>
        <v>3904.61538461539</v>
      </c>
      <c r="U19" s="56">
        <f t="shared" si="12"/>
        <v>166.666666666667</v>
      </c>
      <c r="V19" s="56">
        <f t="shared" si="13"/>
        <v>67.1232876712329</v>
      </c>
      <c r="W19" s="56">
        <f t="shared" si="14"/>
        <v>233.333333333333</v>
      </c>
      <c r="X19" s="56">
        <f t="shared" si="19"/>
        <v>479.452054794521</v>
      </c>
      <c r="Y19" s="56">
        <f>((600000/4)*(58/30))/66</f>
        <v>4393.93939393939</v>
      </c>
      <c r="Z19" s="56">
        <f t="shared" si="15"/>
        <v>289.855072463768</v>
      </c>
      <c r="AA19" s="56">
        <f t="shared" si="16"/>
        <v>4907.71246621157</v>
      </c>
      <c r="AB19" s="62">
        <f t="shared" si="0"/>
        <v>4853.82599532689</v>
      </c>
      <c r="AC19" s="63">
        <f t="shared" si="1"/>
        <v>0.497239857677302</v>
      </c>
    </row>
    <row r="20" spans="1:29">
      <c r="A20" s="21">
        <v>5</v>
      </c>
      <c r="B20" s="24" t="s">
        <v>43</v>
      </c>
      <c r="C20" s="21" t="s">
        <v>19</v>
      </c>
      <c r="D20" s="21">
        <f>VLOOKUP(B20,'RPA RoadMap'!B:R,3,)</f>
        <v>3695</v>
      </c>
      <c r="E20" s="21" t="str">
        <f>VLOOKUP(B20,'RPA RoadMap'!B:AA,4,FALSE)</f>
        <v>OCR</v>
      </c>
      <c r="F20" s="24" t="str">
        <f>VLOOKUP(B20,'RPA RoadMap'!B:R,5,FALSE)</f>
        <v>Weekly</v>
      </c>
      <c r="G20" s="21" t="str">
        <f>VLOOKUP(B20,'RPA RoadMap'!B:R,13,FALSE)</f>
        <v>Medium</v>
      </c>
      <c r="H20" s="21">
        <f>VLOOKUP(B20,'RPA RoadMap'!B:R,6,FALSE)</f>
        <v>8</v>
      </c>
      <c r="I20" s="40">
        <f t="shared" si="2"/>
        <v>0.378974358974359</v>
      </c>
      <c r="J20" s="41">
        <f t="shared" si="3"/>
        <v>606.358974358974</v>
      </c>
      <c r="K20" s="41">
        <f t="shared" si="4"/>
        <v>136.241282051282</v>
      </c>
      <c r="L20" s="41">
        <f t="shared" si="5"/>
        <v>66.7373846153846</v>
      </c>
      <c r="M20" s="41">
        <f t="shared" si="6"/>
        <v>81.2521025641026</v>
      </c>
      <c r="N20" s="42">
        <f t="shared" si="7"/>
        <v>890.589743589744</v>
      </c>
      <c r="O20" s="43">
        <f>I20*0.7</f>
        <v>0.265282051282051</v>
      </c>
      <c r="P20" s="43">
        <v>8</v>
      </c>
      <c r="Q20" s="43">
        <f t="shared" si="8"/>
        <v>0.0454769230769231</v>
      </c>
      <c r="R20" s="43">
        <f t="shared" si="9"/>
        <v>3206.12307692308</v>
      </c>
      <c r="S20" s="55">
        <f t="shared" si="10"/>
        <v>0.113692307692308</v>
      </c>
      <c r="T20" s="56">
        <f t="shared" si="11"/>
        <v>267.176923076923</v>
      </c>
      <c r="U20" s="56">
        <f t="shared" si="12"/>
        <v>166.666666666667</v>
      </c>
      <c r="V20" s="56">
        <f t="shared" si="13"/>
        <v>91.859462201928</v>
      </c>
      <c r="W20" s="56">
        <f t="shared" si="14"/>
        <v>233.333333333333</v>
      </c>
      <c r="X20" s="56">
        <f t="shared" si="19"/>
        <v>479.452054794521</v>
      </c>
      <c r="Y20" s="56">
        <f>((600000/4)*(44/30))/66</f>
        <v>3333.33333333333</v>
      </c>
      <c r="Z20" s="56">
        <f t="shared" si="15"/>
        <v>289.855072463768</v>
      </c>
      <c r="AA20" s="56">
        <f t="shared" si="16"/>
        <v>1295.01017920381</v>
      </c>
      <c r="AB20" s="62">
        <f t="shared" si="0"/>
        <v>-404.420435614063</v>
      </c>
      <c r="AC20" s="63">
        <f t="shared" si="1"/>
        <v>-0.454104079375477</v>
      </c>
    </row>
    <row r="21" spans="1:29">
      <c r="A21" s="21">
        <v>6</v>
      </c>
      <c r="B21" s="24" t="s">
        <v>46</v>
      </c>
      <c r="C21" s="21" t="s">
        <v>19</v>
      </c>
      <c r="D21" s="21">
        <f>VLOOKUP(B21,'RPA RoadMap'!B:R,3,)</f>
        <v>2981</v>
      </c>
      <c r="E21" s="21" t="str">
        <f>VLOOKUP(B21,'RPA RoadMap'!B:AA,4,FALSE)</f>
        <v>OCR</v>
      </c>
      <c r="F21" s="24" t="str">
        <f>VLOOKUP(B21,'RPA RoadMap'!B:R,5,FALSE)</f>
        <v>Daily</v>
      </c>
      <c r="G21" s="21" t="str">
        <f>VLOOKUP(B21,'RPA RoadMap'!B:R,13,FALSE)</f>
        <v>Complex</v>
      </c>
      <c r="H21" s="21">
        <f>VLOOKUP(B21,'RPA RoadMap'!B:R,6,FALSE)</f>
        <v>7</v>
      </c>
      <c r="I21" s="40">
        <f t="shared" si="2"/>
        <v>0.267525641025641</v>
      </c>
      <c r="J21" s="41">
        <f t="shared" si="3"/>
        <v>428.041025641026</v>
      </c>
      <c r="K21" s="41">
        <f t="shared" si="4"/>
        <v>96.175467948718</v>
      </c>
      <c r="L21" s="41">
        <f t="shared" si="5"/>
        <v>47.1112653846154</v>
      </c>
      <c r="M21" s="41">
        <f t="shared" si="6"/>
        <v>57.3574974358975</v>
      </c>
      <c r="N21" s="42">
        <f t="shared" si="7"/>
        <v>628.685256410257</v>
      </c>
      <c r="O21" s="43">
        <f t="shared" ref="O21:O22" si="20">I21*0.6</f>
        <v>0.160515384615385</v>
      </c>
      <c r="P21" s="43">
        <v>8</v>
      </c>
      <c r="Q21" s="43">
        <f t="shared" si="8"/>
        <v>0.0366892307692308</v>
      </c>
      <c r="R21" s="43">
        <f t="shared" si="9"/>
        <v>2586.59076923077</v>
      </c>
      <c r="S21" s="55">
        <f t="shared" si="10"/>
        <v>0.107010256410256</v>
      </c>
      <c r="T21" s="56">
        <f t="shared" si="11"/>
        <v>251.474102564103</v>
      </c>
      <c r="U21" s="56">
        <f t="shared" si="12"/>
        <v>166.666666666667</v>
      </c>
      <c r="V21" s="56">
        <f t="shared" si="13"/>
        <v>74.1090816844242</v>
      </c>
      <c r="W21" s="56">
        <f t="shared" si="14"/>
        <v>233.333333333333</v>
      </c>
      <c r="X21" s="56">
        <f t="shared" si="19"/>
        <v>479.452054794521</v>
      </c>
      <c r="Y21" s="56">
        <f>((600000/4)*(58/30))/66</f>
        <v>4393.93939393939</v>
      </c>
      <c r="Z21" s="56">
        <f t="shared" si="15"/>
        <v>289.855072463768</v>
      </c>
      <c r="AA21" s="56">
        <f t="shared" si="16"/>
        <v>1261.55697817348</v>
      </c>
      <c r="AB21" s="62">
        <f t="shared" si="0"/>
        <v>-632.871721763226</v>
      </c>
      <c r="AC21" s="63">
        <f t="shared" si="1"/>
        <v>-1.00665907989774</v>
      </c>
    </row>
    <row r="22" spans="1:29">
      <c r="A22" s="21">
        <v>6</v>
      </c>
      <c r="B22" s="24" t="s">
        <v>48</v>
      </c>
      <c r="C22" s="21" t="s">
        <v>19</v>
      </c>
      <c r="D22" s="21">
        <f>VLOOKUP(B22,'RPA RoadMap'!B:R,3,)</f>
        <v>9845</v>
      </c>
      <c r="E22" s="21" t="str">
        <f>VLOOKUP(B22,'RPA RoadMap'!B:AA,4,FALSE)</f>
        <v>OCR</v>
      </c>
      <c r="F22" s="24" t="str">
        <f>VLOOKUP(B22,'RPA RoadMap'!B:R,5,FALSE)</f>
        <v>Weekly</v>
      </c>
      <c r="G22" s="21" t="str">
        <f>VLOOKUP(B22,'RPA RoadMap'!B:R,13,FALSE)</f>
        <v>Complex</v>
      </c>
      <c r="H22" s="21">
        <f>VLOOKUP(B22,'RPA RoadMap'!B:R,6,FALSE)</f>
        <v>10</v>
      </c>
      <c r="I22" s="40">
        <f t="shared" si="2"/>
        <v>1.26217948717949</v>
      </c>
      <c r="J22" s="41">
        <f t="shared" si="3"/>
        <v>2019.48717948718</v>
      </c>
      <c r="K22" s="41">
        <f t="shared" si="4"/>
        <v>453.753525641026</v>
      </c>
      <c r="L22" s="41">
        <f t="shared" si="5"/>
        <v>222.269807692308</v>
      </c>
      <c r="M22" s="41">
        <f t="shared" si="6"/>
        <v>270.611282051282</v>
      </c>
      <c r="N22" s="42">
        <f t="shared" si="7"/>
        <v>2966.12179487179</v>
      </c>
      <c r="O22" s="43">
        <f t="shared" si="20"/>
        <v>0.757307692307692</v>
      </c>
      <c r="P22" s="43">
        <v>8</v>
      </c>
      <c r="Q22" s="43">
        <f t="shared" si="8"/>
        <v>0.121169230769231</v>
      </c>
      <c r="R22" s="43">
        <f t="shared" si="9"/>
        <v>8542.43076923077</v>
      </c>
      <c r="S22" s="55">
        <f t="shared" si="10"/>
        <v>0.504871794871795</v>
      </c>
      <c r="T22" s="56">
        <f t="shared" si="11"/>
        <v>1186.44871794872</v>
      </c>
      <c r="U22" s="56">
        <f t="shared" si="12"/>
        <v>166.666666666667</v>
      </c>
      <c r="V22" s="56">
        <f t="shared" si="13"/>
        <v>244.751395230847</v>
      </c>
      <c r="W22" s="56">
        <f t="shared" si="14"/>
        <v>233.333333333333</v>
      </c>
      <c r="X22" s="56">
        <f t="shared" si="19"/>
        <v>479.452054794521</v>
      </c>
      <c r="Y22" s="56">
        <f>((600000/4)*(58/30))/66</f>
        <v>4393.93939393939</v>
      </c>
      <c r="Z22" s="56">
        <f t="shared" si="15"/>
        <v>289.855072463768</v>
      </c>
      <c r="AA22" s="56">
        <f t="shared" si="16"/>
        <v>2367.17390710452</v>
      </c>
      <c r="AB22" s="62">
        <f t="shared" si="0"/>
        <v>598.947887767275</v>
      </c>
      <c r="AC22" s="63">
        <f t="shared" si="1"/>
        <v>0.20192963377391</v>
      </c>
    </row>
    <row r="23" spans="1:29">
      <c r="A23" s="21">
        <v>7</v>
      </c>
      <c r="B23" s="24" t="s">
        <v>76</v>
      </c>
      <c r="C23" s="21" t="s">
        <v>19</v>
      </c>
      <c r="D23" s="21">
        <f>VLOOKUP(B23,'RPA RoadMap'!B:R,3,)</f>
        <v>10287</v>
      </c>
      <c r="E23" s="21" t="str">
        <f>VLOOKUP(B23,'RPA RoadMap'!B:AA,4,FALSE)</f>
        <v>NON-OCR</v>
      </c>
      <c r="F23" s="24" t="str">
        <f>VLOOKUP(B23,'RPA RoadMap'!B:R,5,FALSE)</f>
        <v>Monthly</v>
      </c>
      <c r="G23" s="21" t="str">
        <f>VLOOKUP(B23,'RPA RoadMap'!B:R,13,FALSE)</f>
        <v>Simple</v>
      </c>
      <c r="H23" s="21">
        <f>VLOOKUP(B23,'RPA RoadMap'!B:R,6,FALSE)</f>
        <v>10</v>
      </c>
      <c r="I23" s="40">
        <f t="shared" si="2"/>
        <v>1.31884615384615</v>
      </c>
      <c r="J23" s="41">
        <f t="shared" si="3"/>
        <v>2110.15384615385</v>
      </c>
      <c r="K23" s="41">
        <f t="shared" si="4"/>
        <v>474.125192307692</v>
      </c>
      <c r="L23" s="41">
        <f t="shared" si="5"/>
        <v>232.248807692308</v>
      </c>
      <c r="M23" s="41">
        <f t="shared" si="6"/>
        <v>282.760615384615</v>
      </c>
      <c r="N23" s="42">
        <f t="shared" si="7"/>
        <v>3099.28846153846</v>
      </c>
      <c r="O23" s="43">
        <f>I23*0.8</f>
        <v>1.05507692307692</v>
      </c>
      <c r="P23" s="43">
        <v>8</v>
      </c>
      <c r="Q23" s="43">
        <f t="shared" si="8"/>
        <v>0.126609230769231</v>
      </c>
      <c r="R23" s="43">
        <f t="shared" si="9"/>
        <v>8925.95076923077</v>
      </c>
      <c r="S23" s="55">
        <f t="shared" si="10"/>
        <v>0.263769230769231</v>
      </c>
      <c r="T23" s="56">
        <f t="shared" si="11"/>
        <v>619.857692307692</v>
      </c>
      <c r="U23" s="56">
        <f t="shared" si="12"/>
        <v>166.666666666667</v>
      </c>
      <c r="V23" s="56">
        <f t="shared" si="13"/>
        <v>255.739726027397</v>
      </c>
      <c r="W23" s="56">
        <f t="shared" si="14"/>
        <v>233.333333333333</v>
      </c>
      <c r="X23" s="56">
        <f t="shared" si="19"/>
        <v>479.452054794521</v>
      </c>
      <c r="Y23" s="56">
        <f>(((600000/4)/22)*24)/66</f>
        <v>2479.33884297521</v>
      </c>
      <c r="Z23" s="56">
        <f t="shared" si="15"/>
        <v>289.855072463768</v>
      </c>
      <c r="AA23" s="56">
        <f t="shared" si="16"/>
        <v>1811.57121226005</v>
      </c>
      <c r="AB23" s="62">
        <f t="shared" si="0"/>
        <v>1287.71724927842</v>
      </c>
      <c r="AC23" s="63">
        <f t="shared" si="1"/>
        <v>0.415488027416204</v>
      </c>
    </row>
    <row r="24" spans="1:29">
      <c r="A24" s="21">
        <v>8</v>
      </c>
      <c r="B24" s="24" t="s">
        <v>177</v>
      </c>
      <c r="C24" s="21" t="s">
        <v>19</v>
      </c>
      <c r="D24" s="21">
        <f>VLOOKUP(B24,'RPA_SOP_Analysis_ABG Team SI-2'!A:G,4,)</f>
        <v>3558</v>
      </c>
      <c r="E24" s="21" t="s">
        <v>11</v>
      </c>
      <c r="F24" s="24">
        <f>VLOOKUP(B24,'RPA_SOP_Analysis_ABG Team SI-2'!A:G,6,FALSE)</f>
        <v>0</v>
      </c>
      <c r="G24" s="21" t="s">
        <v>13</v>
      </c>
      <c r="H24" s="21">
        <v>10</v>
      </c>
      <c r="I24" s="40">
        <f t="shared" si="2"/>
        <v>0.456153846153846</v>
      </c>
      <c r="J24" s="41">
        <f t="shared" si="3"/>
        <v>729.846153846154</v>
      </c>
      <c r="K24" s="41">
        <f t="shared" si="4"/>
        <v>163.987307692308</v>
      </c>
      <c r="L24" s="41">
        <f t="shared" si="5"/>
        <v>80.3286923076923</v>
      </c>
      <c r="M24" s="41">
        <f t="shared" si="6"/>
        <v>97.7993846153846</v>
      </c>
      <c r="N24" s="42">
        <f t="shared" si="7"/>
        <v>1071.96153846154</v>
      </c>
      <c r="O24" s="43">
        <f t="shared" ref="O24:O26" si="21">I24*0.7</f>
        <v>0.319307692307692</v>
      </c>
      <c r="P24" s="43">
        <v>8</v>
      </c>
      <c r="Q24" s="43">
        <f t="shared" si="8"/>
        <v>0.0437907692307692</v>
      </c>
      <c r="R24" s="43">
        <f t="shared" si="9"/>
        <v>3087.24923076923</v>
      </c>
      <c r="S24" s="55">
        <f t="shared" si="10"/>
        <v>0.136846153846154</v>
      </c>
      <c r="T24" s="56">
        <f t="shared" si="11"/>
        <v>321.588461538462</v>
      </c>
      <c r="U24" s="56">
        <f t="shared" si="12"/>
        <v>166.666666666667</v>
      </c>
      <c r="V24" s="56">
        <f t="shared" si="13"/>
        <v>88.4535768645358</v>
      </c>
      <c r="W24" s="56">
        <f t="shared" si="14"/>
        <v>233.333333333333</v>
      </c>
      <c r="X24" s="56">
        <f t="shared" si="19"/>
        <v>479.452054794521</v>
      </c>
      <c r="Y24" s="56">
        <f>(((600000/4)/22)*29)/66</f>
        <v>2995.86776859504</v>
      </c>
      <c r="Z24" s="56">
        <f t="shared" si="15"/>
        <v>289.855072463768</v>
      </c>
      <c r="AA24" s="56">
        <f t="shared" si="16"/>
        <v>1346.01583232795</v>
      </c>
      <c r="AB24" s="62">
        <f t="shared" si="0"/>
        <v>-274.054293866415</v>
      </c>
      <c r="AC24" s="63">
        <f t="shared" si="1"/>
        <v>-0.255656834721638</v>
      </c>
    </row>
    <row r="25" spans="1:29">
      <c r="A25" s="21">
        <v>9</v>
      </c>
      <c r="B25" s="24" t="s">
        <v>524</v>
      </c>
      <c r="C25" s="21" t="s">
        <v>19</v>
      </c>
      <c r="D25" s="21">
        <f>VLOOKUP(B25,'RPA_SOP_Analysis_ABG Team SI-2'!A:G,4,)</f>
        <v>45835</v>
      </c>
      <c r="E25" s="21" t="str">
        <f>VLOOKUP(B25,'RPA_SOP_Analysis_ABG Team SI-2'!A:G,5,FALSE)</f>
        <v>NON-OCR</v>
      </c>
      <c r="F25" s="24" t="str">
        <f>VLOOKUP(B25,'RPA_SOP_Analysis_ABG Team SI-2'!A:G,6,FALSE)</f>
        <v>Daily</v>
      </c>
      <c r="G25" s="21" t="s">
        <v>13</v>
      </c>
      <c r="H25" s="21">
        <f>VLOOKUP(B25,'RPA_SOP_Analysis_ABG Team SI-2'!A:G,7,FALSE)</f>
        <v>10</v>
      </c>
      <c r="I25" s="40">
        <f t="shared" si="2"/>
        <v>5.87628205128205</v>
      </c>
      <c r="J25" s="41">
        <f t="shared" si="3"/>
        <v>9402.05128205128</v>
      </c>
      <c r="K25" s="41">
        <f t="shared" si="4"/>
        <v>2112.5233974359</v>
      </c>
      <c r="L25" s="41">
        <f t="shared" si="5"/>
        <v>1034.81326923077</v>
      </c>
      <c r="M25" s="41">
        <f t="shared" si="6"/>
        <v>1259.87487179487</v>
      </c>
      <c r="N25" s="42">
        <f t="shared" si="7"/>
        <v>13809.2628205128</v>
      </c>
      <c r="O25" s="43">
        <f t="shared" si="21"/>
        <v>4.11339743589744</v>
      </c>
      <c r="P25" s="43">
        <v>8</v>
      </c>
      <c r="Q25" s="43">
        <f t="shared" si="8"/>
        <v>0.564123076923077</v>
      </c>
      <c r="R25" s="43">
        <f t="shared" si="9"/>
        <v>39770.6769230769</v>
      </c>
      <c r="S25" s="55">
        <f t="shared" si="10"/>
        <v>1.76288461538462</v>
      </c>
      <c r="T25" s="56">
        <f t="shared" si="11"/>
        <v>4142.77884615385</v>
      </c>
      <c r="U25" s="56">
        <f t="shared" si="12"/>
        <v>166.666666666667</v>
      </c>
      <c r="V25" s="56">
        <f t="shared" si="13"/>
        <v>1139.47995941147</v>
      </c>
      <c r="W25" s="56">
        <f t="shared" si="14"/>
        <v>233.333333333333</v>
      </c>
      <c r="X25" s="56">
        <f t="shared" si="19"/>
        <v>479.452054794521</v>
      </c>
      <c r="Y25" s="56">
        <f>(((600000/4)/22)*29)/66</f>
        <v>2995.86776859504</v>
      </c>
      <c r="Z25" s="56">
        <f t="shared" si="15"/>
        <v>289.855072463768</v>
      </c>
      <c r="AA25" s="56">
        <f t="shared" si="16"/>
        <v>6218.23259949027</v>
      </c>
      <c r="AB25" s="62">
        <f t="shared" si="0"/>
        <v>7591.03022102255</v>
      </c>
      <c r="AC25" s="63">
        <f t="shared" si="1"/>
        <v>0.549705680867087</v>
      </c>
    </row>
    <row r="26" spans="1:29">
      <c r="A26" s="21">
        <v>10</v>
      </c>
      <c r="B26" s="24" t="s">
        <v>25</v>
      </c>
      <c r="C26" s="21" t="s">
        <v>19</v>
      </c>
      <c r="D26" s="21">
        <f>VLOOKUP(B26,'RPA RoadMap'!B:R,3,)</f>
        <v>6804</v>
      </c>
      <c r="E26" s="21" t="str">
        <f>VLOOKUP(B26,'RPA RoadMap'!B:AA,4,FALSE)</f>
        <v>NON-OCR</v>
      </c>
      <c r="F26" s="24" t="str">
        <f>VLOOKUP(B26,'RPA RoadMap'!B:R,5,FALSE)</f>
        <v>Daily</v>
      </c>
      <c r="G26" s="21" t="str">
        <f>VLOOKUP(B26,'RPA RoadMap'!B:R,13,FALSE)</f>
        <v>Medium</v>
      </c>
      <c r="H26" s="21">
        <f>VLOOKUP(B26,'RPA RoadMap'!B:R,6,FALSE)</f>
        <v>10</v>
      </c>
      <c r="I26" s="40">
        <f t="shared" si="2"/>
        <v>0.872307692307692</v>
      </c>
      <c r="J26" s="41">
        <f t="shared" si="3"/>
        <v>1395.69230769231</v>
      </c>
      <c r="K26" s="41">
        <f t="shared" si="4"/>
        <v>313.594615384615</v>
      </c>
      <c r="L26" s="41">
        <f t="shared" si="5"/>
        <v>153.613384615385</v>
      </c>
      <c r="M26" s="41">
        <f t="shared" si="6"/>
        <v>187.022769230769</v>
      </c>
      <c r="N26" s="42">
        <f t="shared" si="7"/>
        <v>2049.92307692308</v>
      </c>
      <c r="O26" s="43">
        <f t="shared" si="21"/>
        <v>0.610615384615385</v>
      </c>
      <c r="P26" s="43">
        <v>8</v>
      </c>
      <c r="Q26" s="43">
        <f t="shared" si="8"/>
        <v>0.0837415384615385</v>
      </c>
      <c r="R26" s="43">
        <f t="shared" si="9"/>
        <v>5903.77846153846</v>
      </c>
      <c r="S26" s="55">
        <f t="shared" si="10"/>
        <v>0.261692307692308</v>
      </c>
      <c r="T26" s="56">
        <f t="shared" si="11"/>
        <v>614.976923076923</v>
      </c>
      <c r="U26" s="56">
        <f t="shared" si="12"/>
        <v>166.666666666667</v>
      </c>
      <c r="V26" s="56">
        <f t="shared" si="13"/>
        <v>169.150684931507</v>
      </c>
      <c r="W26" s="56">
        <f t="shared" si="14"/>
        <v>233.333333333333</v>
      </c>
      <c r="X26" s="56">
        <f t="shared" si="19"/>
        <v>479.452054794521</v>
      </c>
      <c r="Y26" s="56">
        <f>(((600000/4)/22)*29)/66</f>
        <v>2995.86776859504</v>
      </c>
      <c r="Z26" s="56">
        <f t="shared" si="15"/>
        <v>289.855072463768</v>
      </c>
      <c r="AA26" s="56">
        <f t="shared" si="16"/>
        <v>1720.10140193339</v>
      </c>
      <c r="AB26" s="62">
        <f t="shared" si="0"/>
        <v>329.821674989692</v>
      </c>
      <c r="AC26" s="63">
        <f t="shared" si="1"/>
        <v>0.160894659269241</v>
      </c>
    </row>
    <row r="27" spans="14:14">
      <c r="N27" s="42"/>
    </row>
    <row r="28" ht="14.5" spans="1:29">
      <c r="A28" s="28" t="s">
        <v>461</v>
      </c>
      <c r="B28" s="28"/>
      <c r="C28" s="28"/>
      <c r="D28" s="28"/>
      <c r="E28" s="28"/>
      <c r="F28" s="28"/>
      <c r="G28" s="28"/>
      <c r="H28" s="28"/>
      <c r="I28" s="48">
        <f>SUM(I4:I26)</f>
        <v>41.828361965812</v>
      </c>
      <c r="J28" s="29"/>
      <c r="K28" s="29"/>
      <c r="L28" s="29"/>
      <c r="M28" s="29"/>
      <c r="N28" s="47">
        <f>SUM(N4:N26)</f>
        <v>98296.6506196581</v>
      </c>
      <c r="O28" s="48"/>
      <c r="P28" s="48"/>
      <c r="Q28" s="48"/>
      <c r="R28" s="48"/>
      <c r="S28" s="48">
        <f>SUM(S4:S26)</f>
        <v>14.5890363461538</v>
      </c>
      <c r="T28" s="66">
        <f>SUM(T4:T26)</f>
        <v>34284.2354134615</v>
      </c>
      <c r="U28" s="57"/>
      <c r="V28" s="57"/>
      <c r="W28" s="57"/>
      <c r="X28" s="57"/>
      <c r="Y28" s="57"/>
      <c r="Z28" s="57"/>
      <c r="AA28" s="62">
        <f>SUM(AA4:AA26)</f>
        <v>54328.0295164972</v>
      </c>
      <c r="AB28" s="62">
        <f>(N28-AA28)</f>
        <v>43968.6211031609</v>
      </c>
      <c r="AC28" s="63">
        <f>(N28-AA28)/N28</f>
        <v>0.447305384527189</v>
      </c>
    </row>
  </sheetData>
  <autoFilter xmlns:etc="http://www.wps.cn/officeDocument/2017/etCustomData" ref="A3:AC28" etc:filterBottomFollowUsedRange="0">
    <extLst/>
  </autoFilter>
  <mergeCells count="31">
    <mergeCell ref="A1:H1"/>
    <mergeCell ref="I1:N1"/>
    <mergeCell ref="S1:AA1"/>
    <mergeCell ref="AB1:AC1"/>
    <mergeCell ref="V2:X2"/>
    <mergeCell ref="Y2:Z2"/>
    <mergeCell ref="A28:H2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1:O3"/>
    <mergeCell ref="P1:P3"/>
    <mergeCell ref="Q1:Q3"/>
    <mergeCell ref="R1:R3"/>
    <mergeCell ref="S2:S3"/>
    <mergeCell ref="T2:T3"/>
    <mergeCell ref="U2:U3"/>
    <mergeCell ref="AA2:AA3"/>
    <mergeCell ref="AB2:AB3"/>
    <mergeCell ref="AC2:AC3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zoomScale="87" zoomScaleNormal="87" topLeftCell="I1" workbookViewId="0">
      <selection activeCell="I10" sqref="$A10:$XFD10"/>
    </sheetView>
  </sheetViews>
  <sheetFormatPr defaultColWidth="8.70909090909091" defaultRowHeight="12"/>
  <cols>
    <col min="1" max="1" width="4.85454545454545" style="19" customWidth="1"/>
    <col min="2" max="2" width="30.4272727272727" style="19" customWidth="1"/>
    <col min="3" max="3" width="9.42727272727273" style="19" customWidth="1"/>
    <col min="4" max="4" width="11.1363636363636" style="19" customWidth="1"/>
    <col min="5" max="5" width="13.4272727272727" style="19" customWidth="1"/>
    <col min="6" max="6" width="10.4272727272727" style="17" customWidth="1"/>
    <col min="7" max="7" width="9" style="19" customWidth="1"/>
    <col min="8" max="8" width="9.42727272727273" style="19" customWidth="1"/>
    <col min="9" max="9" width="15.7090909090909" style="20" customWidth="1"/>
    <col min="10" max="10" width="11.8545454545455" style="19" customWidth="1"/>
    <col min="11" max="11" width="15.2818181818182" style="19" customWidth="1"/>
    <col min="12" max="12" width="11" style="19" customWidth="1"/>
    <col min="13" max="13" width="12.5727272727273" style="19" customWidth="1"/>
    <col min="14" max="14" width="15.4272727272727" style="19" customWidth="1"/>
    <col min="15" max="19" width="12.4272727272727" style="20" customWidth="1"/>
    <col min="20" max="20" width="12.7090909090909" style="19" customWidth="1"/>
    <col min="21" max="21" width="10.5727272727273" style="19" customWidth="1"/>
    <col min="22" max="26" width="11.8545454545455" style="19" customWidth="1"/>
    <col min="27" max="27" width="16.7090909090909" style="19" customWidth="1"/>
    <col min="28" max="28" width="15.5727272727273" style="19" customWidth="1"/>
    <col min="29" max="29" width="14.1363636363636" style="19" customWidth="1"/>
    <col min="30" max="16384" width="8.70909090909091" style="19"/>
  </cols>
  <sheetData>
    <row r="1" ht="18" customHeight="1" spans="1:29">
      <c r="A1" s="21" t="s">
        <v>430</v>
      </c>
      <c r="B1" s="21"/>
      <c r="C1" s="21"/>
      <c r="D1" s="21"/>
      <c r="E1" s="21"/>
      <c r="F1" s="21"/>
      <c r="G1" s="21"/>
      <c r="H1" s="21"/>
      <c r="I1" s="30" t="s">
        <v>561</v>
      </c>
      <c r="J1" s="31"/>
      <c r="K1" s="31"/>
      <c r="L1" s="31"/>
      <c r="M1" s="31"/>
      <c r="N1" s="32"/>
      <c r="O1" s="33" t="s">
        <v>570</v>
      </c>
      <c r="P1" s="33" t="s">
        <v>571</v>
      </c>
      <c r="Q1" s="33" t="s">
        <v>563</v>
      </c>
      <c r="R1" s="33" t="s">
        <v>555</v>
      </c>
      <c r="S1" s="49" t="s">
        <v>564</v>
      </c>
      <c r="T1" s="50"/>
      <c r="U1" s="50"/>
      <c r="V1" s="50"/>
      <c r="W1" s="50"/>
      <c r="X1" s="50"/>
      <c r="Y1" s="50"/>
      <c r="Z1" s="50"/>
      <c r="AA1" s="58"/>
      <c r="AB1" s="59" t="s">
        <v>434</v>
      </c>
      <c r="AC1" s="59"/>
    </row>
    <row r="2" ht="18" customHeight="1" spans="1:29">
      <c r="A2" s="22" t="s">
        <v>435</v>
      </c>
      <c r="B2" s="22" t="s">
        <v>436</v>
      </c>
      <c r="C2" s="22" t="s">
        <v>437</v>
      </c>
      <c r="D2" s="22" t="s">
        <v>438</v>
      </c>
      <c r="E2" s="22" t="s">
        <v>439</v>
      </c>
      <c r="F2" s="22" t="s">
        <v>302</v>
      </c>
      <c r="G2" s="22" t="s">
        <v>312</v>
      </c>
      <c r="H2" s="22" t="s">
        <v>565</v>
      </c>
      <c r="I2" s="34" t="s">
        <v>572</v>
      </c>
      <c r="J2" s="35" t="s">
        <v>555</v>
      </c>
      <c r="K2" s="36" t="s">
        <v>573</v>
      </c>
      <c r="L2" s="36" t="s">
        <v>574</v>
      </c>
      <c r="M2" s="36" t="s">
        <v>575</v>
      </c>
      <c r="N2" s="37" t="s">
        <v>567</v>
      </c>
      <c r="O2" s="38"/>
      <c r="P2" s="38"/>
      <c r="Q2" s="38"/>
      <c r="R2" s="38"/>
      <c r="S2" s="51" t="s">
        <v>576</v>
      </c>
      <c r="T2" s="52" t="s">
        <v>555</v>
      </c>
      <c r="U2" s="52" t="s">
        <v>558</v>
      </c>
      <c r="V2" s="50" t="s">
        <v>577</v>
      </c>
      <c r="W2" s="50"/>
      <c r="X2" s="50"/>
      <c r="Y2" s="54" t="s">
        <v>453</v>
      </c>
      <c r="Z2" s="53"/>
      <c r="AA2" s="52" t="s">
        <v>567</v>
      </c>
      <c r="AB2" s="60" t="s">
        <v>578</v>
      </c>
      <c r="AC2" s="60" t="s">
        <v>456</v>
      </c>
    </row>
    <row r="3" s="17" customFormat="1" ht="24" spans="1:29">
      <c r="A3" s="23"/>
      <c r="B3" s="23"/>
      <c r="C3" s="23"/>
      <c r="D3" s="23"/>
      <c r="E3" s="23"/>
      <c r="F3" s="23"/>
      <c r="G3" s="23"/>
      <c r="H3" s="23"/>
      <c r="I3" s="34"/>
      <c r="J3" s="35"/>
      <c r="K3" s="36"/>
      <c r="L3" s="36"/>
      <c r="M3" s="36"/>
      <c r="N3" s="37"/>
      <c r="O3" s="39"/>
      <c r="P3" s="39"/>
      <c r="Q3" s="39"/>
      <c r="R3" s="39"/>
      <c r="S3" s="51"/>
      <c r="T3" s="52"/>
      <c r="U3" s="52"/>
      <c r="V3" s="53" t="s">
        <v>457</v>
      </c>
      <c r="W3" s="52" t="s">
        <v>458</v>
      </c>
      <c r="X3" s="54" t="s">
        <v>569</v>
      </c>
      <c r="Y3" s="52" t="s">
        <v>459</v>
      </c>
      <c r="Z3" s="52" t="s">
        <v>460</v>
      </c>
      <c r="AA3" s="52"/>
      <c r="AB3" s="61"/>
      <c r="AC3" s="61"/>
    </row>
    <row r="4" spans="1:29">
      <c r="A4" s="21" t="s">
        <v>333</v>
      </c>
      <c r="B4" s="21" t="s">
        <v>10</v>
      </c>
      <c r="C4" s="21" t="s">
        <v>12</v>
      </c>
      <c r="D4" s="21">
        <f>VLOOKUP(B4,'RPA RoadMap'!B:R,3,)</f>
        <v>6089</v>
      </c>
      <c r="E4" s="21" t="str">
        <f>VLOOKUP(B4,'RPA RoadMap'!B:AA,4,FALSE)</f>
        <v>NON-OCR</v>
      </c>
      <c r="F4" s="24" t="str">
        <f>VLOOKUP(B4,'RPA RoadMap'!B:R,5,FALSE)</f>
        <v>Daily</v>
      </c>
      <c r="G4" s="21" t="str">
        <f>VLOOKUP(B4,'RPA RoadMap'!B:R,13,FALSE)</f>
        <v>Medium</v>
      </c>
      <c r="H4" s="25">
        <f>((150*2)-71)/60</f>
        <v>3.81666666666667</v>
      </c>
      <c r="I4" s="40">
        <f>((D4*H4)/60)/(200/12)/6.5</f>
        <v>3.5753358974359</v>
      </c>
      <c r="J4" s="41">
        <f>I4*48000</f>
        <v>171616.123076923</v>
      </c>
      <c r="K4" s="41">
        <f>I4*10785</f>
        <v>38559.9976538461</v>
      </c>
      <c r="L4" s="41">
        <f>I4*5283</f>
        <v>18888.4995461538</v>
      </c>
      <c r="M4" s="41">
        <f>I4*6432</f>
        <v>22996.5604923077</v>
      </c>
      <c r="N4" s="42">
        <f>I4*70500</f>
        <v>252061.180769231</v>
      </c>
      <c r="O4" s="43">
        <f>I4*0.85</f>
        <v>3.03903551282051</v>
      </c>
      <c r="P4" s="43">
        <f>(205-71)/60</f>
        <v>2.23333333333333</v>
      </c>
      <c r="Q4" s="43">
        <f>((D4*P4/100)/60)/(200/12)/6.5</f>
        <v>0.0209211794871795</v>
      </c>
      <c r="R4" s="43">
        <f>Q4*70500</f>
        <v>1474.94315384615</v>
      </c>
      <c r="S4" s="55">
        <f>I4-O4</f>
        <v>0.536300384615385</v>
      </c>
      <c r="T4" s="56">
        <f>S4*70500</f>
        <v>37809.1771153846</v>
      </c>
      <c r="U4" s="56">
        <v>5000</v>
      </c>
      <c r="V4" s="56">
        <f>(((D4/Configurations!$B$2)*(Configurations!$B$2/12))*(P4/100))*((49000/(Configurations!$B$2/12))/1440)</f>
        <v>23.1367905092593</v>
      </c>
      <c r="W4" s="56">
        <v>21000</v>
      </c>
      <c r="X4" s="56">
        <v>0</v>
      </c>
      <c r="Y4" s="56">
        <f>((600000/4)/22)*29</f>
        <v>197727.272727273</v>
      </c>
      <c r="Z4" s="56">
        <f>(175000*3)/23</f>
        <v>22826.0869565217</v>
      </c>
      <c r="AA4" s="56">
        <f>SUM(T4:Z4)-W4</f>
        <v>263385.673589688</v>
      </c>
      <c r="AB4" s="62">
        <f t="shared" ref="AB4:AB26" si="0">(N4-AA4)</f>
        <v>-11324.4928204576</v>
      </c>
      <c r="AC4" s="63">
        <f t="shared" ref="AC4:AC26" si="1">(N4-AA4)/N4</f>
        <v>-0.0449275560238907</v>
      </c>
    </row>
    <row r="5" spans="1:29">
      <c r="A5" s="21" t="s">
        <v>333</v>
      </c>
      <c r="B5" s="21" t="s">
        <v>15</v>
      </c>
      <c r="C5" s="21" t="s">
        <v>12</v>
      </c>
      <c r="D5" s="21">
        <f>VLOOKUP(B5,'RPA RoadMap'!B:R,3,)</f>
        <v>3933</v>
      </c>
      <c r="E5" s="21" t="str">
        <f>VLOOKUP(B5,'RPA RoadMap'!B:AA,4,FALSE)</f>
        <v>NON-OCR</v>
      </c>
      <c r="F5" s="24" t="str">
        <f>VLOOKUP(B5,'RPA RoadMap'!B:R,5,FALSE)</f>
        <v>Daily</v>
      </c>
      <c r="G5" s="21" t="str">
        <f>VLOOKUP(B5,'RPA RoadMap'!B:R,13,FALSE)</f>
        <v>Simple</v>
      </c>
      <c r="H5" s="25">
        <f>((143*2)-69)/60</f>
        <v>3.61666666666667</v>
      </c>
      <c r="I5" s="40">
        <f t="shared" ref="I5:I26" si="2">((D5*H5)/60)/(200/12)/6.5</f>
        <v>2.18836153846154</v>
      </c>
      <c r="J5" s="41">
        <f t="shared" ref="J5:J27" si="3">I5*48000</f>
        <v>105041.353846154</v>
      </c>
      <c r="K5" s="41">
        <f t="shared" ref="K5:K27" si="4">I5*10785</f>
        <v>23601.4791923077</v>
      </c>
      <c r="L5" s="41">
        <f t="shared" ref="L5:L27" si="5">I5*5283</f>
        <v>11561.1140076923</v>
      </c>
      <c r="M5" s="41">
        <f t="shared" ref="M5:M27" si="6">I5*6432</f>
        <v>14075.5414153846</v>
      </c>
      <c r="N5" s="42">
        <f t="shared" ref="N5:N27" si="7">I5*70500</f>
        <v>154279.488461538</v>
      </c>
      <c r="O5" s="43">
        <f>I5*0.85</f>
        <v>1.86010730769231</v>
      </c>
      <c r="P5" s="43">
        <f>(143-69)/60</f>
        <v>1.23333333333333</v>
      </c>
      <c r="Q5" s="43">
        <f t="shared" ref="Q5:Q26" si="8">((D5*P5/100)/60)/(200/12)/6.5</f>
        <v>0.00746261538461538</v>
      </c>
      <c r="R5" s="43">
        <f t="shared" ref="R5:R26" si="9">Q5*70500</f>
        <v>526.114384615385</v>
      </c>
      <c r="S5" s="55">
        <f t="shared" ref="S5:S26" si="10">I5-O5</f>
        <v>0.328254230769231</v>
      </c>
      <c r="T5" s="56">
        <f t="shared" ref="T5:T26" si="11">S5*70500</f>
        <v>23141.9232692308</v>
      </c>
      <c r="U5" s="56">
        <v>5000</v>
      </c>
      <c r="V5" s="56">
        <f>(((D5/Configurations!$B$2)*(Configurations!$B$2/12))*(P5/100))*((49000/(Configurations!$B$2/12))/1440)</f>
        <v>8.25292708333333</v>
      </c>
      <c r="W5" s="56">
        <v>21000</v>
      </c>
      <c r="X5" s="56">
        <v>0</v>
      </c>
      <c r="Y5" s="56">
        <f>((600000/4)/22)*19</f>
        <v>129545.454545455</v>
      </c>
      <c r="Z5" s="56">
        <f t="shared" ref="Z5:Z26" si="12">(175000*3)/23</f>
        <v>22826.0869565217</v>
      </c>
      <c r="AA5" s="56">
        <f t="shared" ref="AA5:AA26" si="13">SUM(T5:Z5)-W5</f>
        <v>180521.71769829</v>
      </c>
      <c r="AB5" s="62">
        <f t="shared" si="0"/>
        <v>-26242.2292367519</v>
      </c>
      <c r="AC5" s="63">
        <f t="shared" si="1"/>
        <v>-0.170095386615792</v>
      </c>
    </row>
    <row r="6" spans="1:29">
      <c r="A6" s="21" t="s">
        <v>333</v>
      </c>
      <c r="B6" s="21" t="s">
        <v>17</v>
      </c>
      <c r="C6" s="21" t="s">
        <v>12</v>
      </c>
      <c r="D6" s="21">
        <f>VLOOKUP(B6,'RPA RoadMap'!B:R,3,)</f>
        <v>10692</v>
      </c>
      <c r="E6" s="21" t="str">
        <f>VLOOKUP(B6,'RPA RoadMap'!B:AA,4,FALSE)</f>
        <v>NON-OCR</v>
      </c>
      <c r="F6" s="24" t="str">
        <f>VLOOKUP(B6,'RPA RoadMap'!B:R,5,FALSE)</f>
        <v>Daily</v>
      </c>
      <c r="G6" s="21" t="str">
        <f>VLOOKUP(B6,'RPA RoadMap'!B:R,13,FALSE)</f>
        <v>Medium</v>
      </c>
      <c r="H6" s="25">
        <f>((142*2)-93)/60</f>
        <v>3.18333333333333</v>
      </c>
      <c r="I6" s="40">
        <f t="shared" si="2"/>
        <v>5.23633846153846</v>
      </c>
      <c r="J6" s="41">
        <f t="shared" si="3"/>
        <v>251344.246153846</v>
      </c>
      <c r="K6" s="41">
        <f t="shared" si="4"/>
        <v>56473.9103076923</v>
      </c>
      <c r="L6" s="41">
        <f t="shared" si="5"/>
        <v>27663.5760923077</v>
      </c>
      <c r="M6" s="41">
        <f t="shared" si="6"/>
        <v>33680.1289846154</v>
      </c>
      <c r="N6" s="42">
        <f t="shared" si="7"/>
        <v>369161.861538461</v>
      </c>
      <c r="O6" s="43">
        <f>I6*0.85</f>
        <v>4.45088769230769</v>
      </c>
      <c r="P6" s="43">
        <f>(142-93)/60</f>
        <v>0.816666666666667</v>
      </c>
      <c r="Q6" s="43">
        <f t="shared" si="8"/>
        <v>0.0134335384615385</v>
      </c>
      <c r="R6" s="43">
        <f t="shared" si="9"/>
        <v>947.064461538462</v>
      </c>
      <c r="S6" s="55">
        <f t="shared" si="10"/>
        <v>0.785450769230769</v>
      </c>
      <c r="T6" s="56">
        <f t="shared" si="11"/>
        <v>55374.2792307692</v>
      </c>
      <c r="U6" s="56">
        <v>5000</v>
      </c>
      <c r="V6" s="56">
        <f>(((D6/Configurations!$B$2)*(Configurations!$B$2/12))*(P6/100))*((49000/(Configurations!$B$2/12))/1440)</f>
        <v>14.8561875</v>
      </c>
      <c r="W6" s="56">
        <v>21000</v>
      </c>
      <c r="X6" s="56">
        <v>0</v>
      </c>
      <c r="Y6" s="56">
        <f>((600000/4)/22)*29</f>
        <v>197727.272727273</v>
      </c>
      <c r="Z6" s="56">
        <f t="shared" si="12"/>
        <v>22826.0869565217</v>
      </c>
      <c r="AA6" s="56">
        <f t="shared" si="13"/>
        <v>280942.495102064</v>
      </c>
      <c r="AB6" s="62">
        <f t="shared" si="0"/>
        <v>88219.3664363978</v>
      </c>
      <c r="AC6" s="63">
        <f t="shared" si="1"/>
        <v>0.238972048923875</v>
      </c>
    </row>
    <row r="7" spans="1:29">
      <c r="A7" s="21" t="s">
        <v>333</v>
      </c>
      <c r="B7" s="21" t="s">
        <v>59</v>
      </c>
      <c r="C7" s="21" t="s">
        <v>12</v>
      </c>
      <c r="D7" s="21">
        <f>VLOOKUP(B7,'RPA RoadMap'!B:R,3,)</f>
        <v>48701</v>
      </c>
      <c r="E7" s="21" t="str">
        <f>VLOOKUP(B7,'RPA RoadMap'!B:AA,4,FALSE)</f>
        <v>NON-OCR</v>
      </c>
      <c r="F7" s="24" t="str">
        <f>VLOOKUP(B7,'RPA RoadMap'!B:R,5,FALSE)</f>
        <v>Daily</v>
      </c>
      <c r="G7" s="21" t="str">
        <f>VLOOKUP(B7,'RPA RoadMap'!B:R,13,FALSE)</f>
        <v>Complex</v>
      </c>
      <c r="H7" s="21">
        <f>VLOOKUP(B7,'RPA RoadMap'!B:R,6,FALSE)</f>
        <v>10</v>
      </c>
      <c r="I7" s="40">
        <f t="shared" si="2"/>
        <v>74.9246153846154</v>
      </c>
      <c r="J7" s="41">
        <f t="shared" si="3"/>
        <v>3596381.53846154</v>
      </c>
      <c r="K7" s="41">
        <f t="shared" si="4"/>
        <v>808061.976923077</v>
      </c>
      <c r="L7" s="41">
        <f t="shared" si="5"/>
        <v>395826.743076923</v>
      </c>
      <c r="M7" s="41">
        <f t="shared" si="6"/>
        <v>481915.126153846</v>
      </c>
      <c r="N7" s="42">
        <f t="shared" si="7"/>
        <v>5282185.38461538</v>
      </c>
      <c r="O7" s="43">
        <f>I7*0.6</f>
        <v>44.9547692307692</v>
      </c>
      <c r="P7" s="43">
        <f>(191-160)/60</f>
        <v>0.516666666666667</v>
      </c>
      <c r="Q7" s="43">
        <f t="shared" si="8"/>
        <v>0.0387110512820513</v>
      </c>
      <c r="R7" s="43">
        <f t="shared" si="9"/>
        <v>2729.12911538462</v>
      </c>
      <c r="S7" s="55">
        <f t="shared" si="10"/>
        <v>29.9698461538462</v>
      </c>
      <c r="T7" s="56">
        <f t="shared" si="11"/>
        <v>2112874.15384615</v>
      </c>
      <c r="U7" s="56">
        <v>5000</v>
      </c>
      <c r="V7" s="56">
        <f>(((D7/Configurations!$B$2)*(Configurations!$B$2/12))*(P7/100))*((49000/(Configurations!$B$2/12))/1440)</f>
        <v>42.8106591435185</v>
      </c>
      <c r="W7" s="56">
        <v>21000</v>
      </c>
      <c r="X7" s="56">
        <v>0</v>
      </c>
      <c r="Y7" s="56">
        <f>(600000/4)*(43/30)</f>
        <v>215000</v>
      </c>
      <c r="Z7" s="56">
        <f t="shared" si="12"/>
        <v>22826.0869565217</v>
      </c>
      <c r="AA7" s="56">
        <f t="shared" si="13"/>
        <v>2355743.05146182</v>
      </c>
      <c r="AB7" s="62">
        <f t="shared" si="0"/>
        <v>2926442.33315356</v>
      </c>
      <c r="AC7" s="63">
        <f t="shared" si="1"/>
        <v>0.554021133312921</v>
      </c>
    </row>
    <row r="8" ht="24" spans="1:29">
      <c r="A8" s="21" t="s">
        <v>333</v>
      </c>
      <c r="B8" s="21" t="s">
        <v>60</v>
      </c>
      <c r="C8" s="21" t="s">
        <v>12</v>
      </c>
      <c r="D8" s="21">
        <f>VLOOKUP(B8,'RPA RoadMap'!B:R,3,)</f>
        <v>5310</v>
      </c>
      <c r="E8" s="21" t="str">
        <f>VLOOKUP(B8,'RPA RoadMap'!B:AA,4,FALSE)</f>
        <v>NON-OCR</v>
      </c>
      <c r="F8" s="24" t="str">
        <f>VLOOKUP(B8,'RPA RoadMap'!B:R,5,FALSE)</f>
        <v>Based on requirement</v>
      </c>
      <c r="G8" s="21" t="str">
        <f>VLOOKUP(B8,'RPA RoadMap'!B:R,13,FALSE)</f>
        <v>Complex</v>
      </c>
      <c r="H8" s="21">
        <f>VLOOKUP(B8,'RPA RoadMap'!B:R,6,FALSE)</f>
        <v>10</v>
      </c>
      <c r="I8" s="40">
        <f t="shared" si="2"/>
        <v>8.16923076923077</v>
      </c>
      <c r="J8" s="41">
        <f t="shared" si="3"/>
        <v>392123.076923077</v>
      </c>
      <c r="K8" s="41">
        <f t="shared" si="4"/>
        <v>88105.1538461538</v>
      </c>
      <c r="L8" s="41">
        <f t="shared" si="5"/>
        <v>43158.0461538462</v>
      </c>
      <c r="M8" s="41">
        <f t="shared" si="6"/>
        <v>52544.4923076923</v>
      </c>
      <c r="N8" s="42">
        <f t="shared" si="7"/>
        <v>575930.769230769</v>
      </c>
      <c r="O8" s="43">
        <f>I8*0.6</f>
        <v>4.90153846153846</v>
      </c>
      <c r="P8" s="43">
        <f>(180-163)/60</f>
        <v>0.283333333333333</v>
      </c>
      <c r="Q8" s="43">
        <f t="shared" si="8"/>
        <v>0.00231461538461538</v>
      </c>
      <c r="R8" s="43">
        <f t="shared" si="9"/>
        <v>163.180384615385</v>
      </c>
      <c r="S8" s="55">
        <f t="shared" si="10"/>
        <v>3.26769230769231</v>
      </c>
      <c r="T8" s="56">
        <f t="shared" si="11"/>
        <v>230372.307692308</v>
      </c>
      <c r="U8" s="56">
        <v>5000</v>
      </c>
      <c r="V8" s="56">
        <f>(((D8/Configurations!$B$2)*(Configurations!$B$2/12))*(P8/100))*((49000/(Configurations!$B$2/12))/1440)</f>
        <v>2.55973958333333</v>
      </c>
      <c r="W8" s="56">
        <v>21000</v>
      </c>
      <c r="X8" s="56">
        <v>0</v>
      </c>
      <c r="Y8" s="56">
        <f>((600000/4))*(43/30)</f>
        <v>215000</v>
      </c>
      <c r="Z8" s="56">
        <f t="shared" si="12"/>
        <v>22826.0869565217</v>
      </c>
      <c r="AA8" s="56">
        <f t="shared" si="13"/>
        <v>473200.954388413</v>
      </c>
      <c r="AB8" s="62">
        <f t="shared" si="0"/>
        <v>102729.814842356</v>
      </c>
      <c r="AC8" s="63">
        <f t="shared" si="1"/>
        <v>0.178371811909903</v>
      </c>
    </row>
    <row r="9" spans="1:29">
      <c r="A9" s="21" t="s">
        <v>333</v>
      </c>
      <c r="B9" s="21" t="s">
        <v>61</v>
      </c>
      <c r="C9" s="21" t="s">
        <v>12</v>
      </c>
      <c r="D9" s="21">
        <f>VLOOKUP(B9,'RPA RoadMap'!B:R,3,)</f>
        <v>53182</v>
      </c>
      <c r="E9" s="21" t="str">
        <f>VLOOKUP(B9,'RPA RoadMap'!B:AA,4,FALSE)</f>
        <v>NON-OCR</v>
      </c>
      <c r="F9" s="24" t="str">
        <f>VLOOKUP(B9,'RPA RoadMap'!B:R,5,FALSE)</f>
        <v>Daily</v>
      </c>
      <c r="G9" s="21" t="str">
        <f>VLOOKUP(B9,'RPA RoadMap'!B:R,13,FALSE)</f>
        <v>Simple</v>
      </c>
      <c r="H9" s="21">
        <v>5</v>
      </c>
      <c r="I9" s="40">
        <f t="shared" si="2"/>
        <v>40.9092307692308</v>
      </c>
      <c r="J9" s="41">
        <f t="shared" si="3"/>
        <v>1963643.07692308</v>
      </c>
      <c r="K9" s="41">
        <f t="shared" si="4"/>
        <v>441206.053846154</v>
      </c>
      <c r="L9" s="41">
        <f t="shared" si="5"/>
        <v>216123.466153846</v>
      </c>
      <c r="M9" s="41">
        <f t="shared" si="6"/>
        <v>263128.172307692</v>
      </c>
      <c r="N9" s="42">
        <f t="shared" si="7"/>
        <v>2884100.76923077</v>
      </c>
      <c r="O9" s="43">
        <f t="shared" ref="O9:O10" si="14">I9*0.8</f>
        <v>32.7273846153846</v>
      </c>
      <c r="P9" s="43">
        <f>(24)/60</f>
        <v>0.4</v>
      </c>
      <c r="Q9" s="43">
        <f t="shared" si="8"/>
        <v>0.0327273846153846</v>
      </c>
      <c r="R9" s="43">
        <f t="shared" si="9"/>
        <v>2307.28061538462</v>
      </c>
      <c r="S9" s="55">
        <f t="shared" si="10"/>
        <v>8.18184615384615</v>
      </c>
      <c r="T9" s="56">
        <f t="shared" si="11"/>
        <v>576820.153846154</v>
      </c>
      <c r="U9" s="56">
        <v>5000</v>
      </c>
      <c r="V9" s="56">
        <f>(((D9/Configurations!$B$2)*(Configurations!$B$2/12))*(P9/100))*((49000/(Configurations!$B$2/12))/1440)</f>
        <v>36.1933055555556</v>
      </c>
      <c r="W9" s="56">
        <v>21000</v>
      </c>
      <c r="X9" s="56">
        <v>0</v>
      </c>
      <c r="Y9" s="56">
        <f t="shared" ref="Y9:Y10" si="15">((600000/4)/22)*24</f>
        <v>163636.363636364</v>
      </c>
      <c r="Z9" s="56">
        <f t="shared" si="12"/>
        <v>22826.0869565217</v>
      </c>
      <c r="AA9" s="56">
        <f t="shared" si="13"/>
        <v>768318.797744595</v>
      </c>
      <c r="AB9" s="62">
        <f t="shared" si="0"/>
        <v>2115781.97148617</v>
      </c>
      <c r="AC9" s="63">
        <f t="shared" si="1"/>
        <v>0.733601958037855</v>
      </c>
    </row>
    <row r="10" ht="24" spans="1:29">
      <c r="A10" s="21" t="s">
        <v>333</v>
      </c>
      <c r="B10" s="21" t="s">
        <v>63</v>
      </c>
      <c r="C10" s="21" t="s">
        <v>12</v>
      </c>
      <c r="D10" s="21">
        <f>VLOOKUP(B10,'RPA RoadMap'!B:R,3,)</f>
        <v>5000</v>
      </c>
      <c r="E10" s="21" t="str">
        <f>VLOOKUP(B10,'RPA RoadMap'!B:AA,4,FALSE)</f>
        <v>NON-OCR</v>
      </c>
      <c r="F10" s="24" t="str">
        <f>VLOOKUP(B10,'RPA RoadMap'!B:R,5,FALSE)</f>
        <v>Based on requirement</v>
      </c>
      <c r="G10" s="21" t="str">
        <f>VLOOKUP(B10,'RPA RoadMap'!B:R,13,FALSE)</f>
        <v>Simple</v>
      </c>
      <c r="H10" s="21">
        <f>VLOOKUP(B10,'RPA RoadMap'!B:R,6,FALSE)</f>
        <v>10</v>
      </c>
      <c r="I10" s="40">
        <f t="shared" si="2"/>
        <v>7.69230769230769</v>
      </c>
      <c r="J10" s="41">
        <f t="shared" si="3"/>
        <v>369230.769230769</v>
      </c>
      <c r="K10" s="41">
        <f t="shared" si="4"/>
        <v>82961.5384615385</v>
      </c>
      <c r="L10" s="41">
        <f t="shared" si="5"/>
        <v>40638.4615384615</v>
      </c>
      <c r="M10" s="41">
        <f t="shared" si="6"/>
        <v>49476.9230769231</v>
      </c>
      <c r="N10" s="42">
        <f t="shared" si="7"/>
        <v>542307.692307692</v>
      </c>
      <c r="O10" s="43">
        <f t="shared" si="14"/>
        <v>6.15384615384615</v>
      </c>
      <c r="P10" s="43">
        <f>24/60</f>
        <v>0.4</v>
      </c>
      <c r="Q10" s="43">
        <f t="shared" si="8"/>
        <v>0.00307692307692308</v>
      </c>
      <c r="R10" s="43">
        <f t="shared" si="9"/>
        <v>216.923076923077</v>
      </c>
      <c r="S10" s="55">
        <f t="shared" si="10"/>
        <v>1.53846153846154</v>
      </c>
      <c r="T10" s="56">
        <f t="shared" si="11"/>
        <v>108461.538461538</v>
      </c>
      <c r="U10" s="56">
        <v>5000</v>
      </c>
      <c r="V10" s="56">
        <f>(((D10/Configurations!$B$2)*(Configurations!$B$2/12))*(P10))*((49000/(Configurations!$B$2/12))/1440)</f>
        <v>340.277777777778</v>
      </c>
      <c r="W10" s="56">
        <v>21000</v>
      </c>
      <c r="X10" s="56">
        <v>0</v>
      </c>
      <c r="Y10" s="56">
        <f t="shared" si="15"/>
        <v>163636.363636364</v>
      </c>
      <c r="Z10" s="56">
        <f t="shared" si="12"/>
        <v>22826.0869565217</v>
      </c>
      <c r="AA10" s="56">
        <f t="shared" si="13"/>
        <v>300264.266832202</v>
      </c>
      <c r="AB10" s="62">
        <f t="shared" si="0"/>
        <v>242043.425475491</v>
      </c>
      <c r="AC10" s="63">
        <f t="shared" si="1"/>
        <v>0.44632121009665</v>
      </c>
    </row>
    <row r="11" spans="1:29">
      <c r="A11" s="21" t="s">
        <v>333</v>
      </c>
      <c r="B11" s="21" t="s">
        <v>65</v>
      </c>
      <c r="C11" s="21" t="s">
        <v>12</v>
      </c>
      <c r="D11" s="21">
        <f>VLOOKUP(B11,'RPA RoadMap'!B:R,3,)</f>
        <v>5000</v>
      </c>
      <c r="E11" s="21" t="str">
        <f>VLOOKUP(B11,'RPA RoadMap'!B:AA,4,FALSE)</f>
        <v>NON-OCR</v>
      </c>
      <c r="F11" s="24" t="str">
        <f>VLOOKUP(B11,'RPA RoadMap'!B:R,5,FALSE)</f>
        <v>Daily</v>
      </c>
      <c r="G11" s="21" t="str">
        <f>VLOOKUP(B11,'RPA RoadMap'!B:R,13,FALSE)</f>
        <v>Complex</v>
      </c>
      <c r="H11" s="21">
        <f>VLOOKUP(B11,'RPA RoadMap'!B:R,6,FALSE)</f>
        <v>10</v>
      </c>
      <c r="I11" s="40">
        <f t="shared" si="2"/>
        <v>7.69230769230769</v>
      </c>
      <c r="J11" s="41">
        <f t="shared" si="3"/>
        <v>369230.769230769</v>
      </c>
      <c r="K11" s="41">
        <f t="shared" si="4"/>
        <v>82961.5384615385</v>
      </c>
      <c r="L11" s="41">
        <f t="shared" si="5"/>
        <v>40638.4615384615</v>
      </c>
      <c r="M11" s="41">
        <f t="shared" si="6"/>
        <v>49476.9230769231</v>
      </c>
      <c r="N11" s="42">
        <f t="shared" si="7"/>
        <v>542307.692307692</v>
      </c>
      <c r="O11" s="43">
        <f>I11*0.6</f>
        <v>4.61538461538461</v>
      </c>
      <c r="P11" s="43">
        <f>(127-80)/60</f>
        <v>0.783333333333333</v>
      </c>
      <c r="Q11" s="43">
        <f t="shared" si="8"/>
        <v>0.00602564102564102</v>
      </c>
      <c r="R11" s="43">
        <f t="shared" si="9"/>
        <v>424.807692307692</v>
      </c>
      <c r="S11" s="55">
        <f t="shared" si="10"/>
        <v>3.07692307692308</v>
      </c>
      <c r="T11" s="56">
        <f t="shared" si="11"/>
        <v>216923.076923077</v>
      </c>
      <c r="U11" s="56">
        <v>5000</v>
      </c>
      <c r="V11" s="56">
        <f>(((D11/Configurations!$B$2)*(Configurations!$B$2/12))*(P11/100))*((49000/(Configurations!$B$2/12))/1440)</f>
        <v>6.66377314814815</v>
      </c>
      <c r="W11" s="56">
        <v>21000</v>
      </c>
      <c r="X11" s="56">
        <v>0</v>
      </c>
      <c r="Y11" s="56">
        <f>(600000/4)*(43/30)</f>
        <v>215000</v>
      </c>
      <c r="Z11" s="56">
        <f t="shared" si="12"/>
        <v>22826.0869565217</v>
      </c>
      <c r="AA11" s="56">
        <f t="shared" si="13"/>
        <v>459755.827652747</v>
      </c>
      <c r="AB11" s="62">
        <f t="shared" si="0"/>
        <v>82551.8646549456</v>
      </c>
      <c r="AC11" s="63">
        <f t="shared" si="1"/>
        <v>0.15222329652685</v>
      </c>
    </row>
    <row r="12" ht="24" spans="1:29">
      <c r="A12" s="21" t="s">
        <v>333</v>
      </c>
      <c r="B12" s="21" t="s">
        <v>66</v>
      </c>
      <c r="C12" s="21" t="s">
        <v>12</v>
      </c>
      <c r="D12" s="21">
        <f>VLOOKUP(B12,'RPA RoadMap'!B:R,3,)</f>
        <v>6316</v>
      </c>
      <c r="E12" s="21" t="str">
        <f>VLOOKUP(B12,'RPA RoadMap'!B:AA,4,FALSE)</f>
        <v>NON-OCR</v>
      </c>
      <c r="F12" s="24" t="str">
        <f>VLOOKUP(B12,'RPA RoadMap'!B:R,5,FALSE)</f>
        <v>Based on requirement</v>
      </c>
      <c r="G12" s="21" t="str">
        <f>VLOOKUP(B12,'RPA RoadMap'!B:R,13,FALSE)</f>
        <v>Medium</v>
      </c>
      <c r="H12" s="21">
        <f>VLOOKUP(B12,'RPA RoadMap'!B:R,6,FALSE)</f>
        <v>10</v>
      </c>
      <c r="I12" s="40">
        <f t="shared" si="2"/>
        <v>9.71692307692308</v>
      </c>
      <c r="J12" s="41">
        <f t="shared" si="3"/>
        <v>466412.307692308</v>
      </c>
      <c r="K12" s="41">
        <f t="shared" si="4"/>
        <v>104797.015384615</v>
      </c>
      <c r="L12" s="41">
        <f t="shared" si="5"/>
        <v>51334.5046153846</v>
      </c>
      <c r="M12" s="41">
        <f t="shared" si="6"/>
        <v>62499.2492307692</v>
      </c>
      <c r="N12" s="42">
        <f t="shared" si="7"/>
        <v>685043.076923077</v>
      </c>
      <c r="O12" s="43">
        <f>I12*0.7</f>
        <v>6.80184615384615</v>
      </c>
      <c r="P12" s="43">
        <v>8</v>
      </c>
      <c r="Q12" s="43">
        <f t="shared" si="8"/>
        <v>0.0777353846153846</v>
      </c>
      <c r="R12" s="43">
        <f t="shared" si="9"/>
        <v>5480.34461538462</v>
      </c>
      <c r="S12" s="55">
        <f t="shared" si="10"/>
        <v>2.91507692307692</v>
      </c>
      <c r="T12" s="56">
        <f t="shared" si="11"/>
        <v>205512.923076923</v>
      </c>
      <c r="U12" s="56">
        <v>5000</v>
      </c>
      <c r="V12" s="56">
        <f>(((D12/Configurations!$B$2)*(Configurations!$B$2/12))*(P12/100))*((49000/(Configurations!$B$2/12))/1440)</f>
        <v>85.9677777777778</v>
      </c>
      <c r="W12" s="56">
        <v>21000</v>
      </c>
      <c r="X12" s="56">
        <v>0</v>
      </c>
      <c r="Y12" s="56">
        <f>((600000/4)/22)*29</f>
        <v>197727.272727273</v>
      </c>
      <c r="Z12" s="56">
        <f t="shared" si="12"/>
        <v>22826.0869565217</v>
      </c>
      <c r="AA12" s="56">
        <f t="shared" si="13"/>
        <v>431152.250538495</v>
      </c>
      <c r="AB12" s="62">
        <f t="shared" si="0"/>
        <v>253890.826384582</v>
      </c>
      <c r="AC12" s="63">
        <f t="shared" si="1"/>
        <v>0.370620235336078</v>
      </c>
    </row>
    <row r="13" spans="1:29">
      <c r="A13" s="21">
        <v>0</v>
      </c>
      <c r="B13" s="24" t="s">
        <v>18</v>
      </c>
      <c r="C13" s="21" t="s">
        <v>19</v>
      </c>
      <c r="D13" s="21">
        <f>VLOOKUP(B13,'RPA RoadMap'!B:R,3,)</f>
        <v>7168</v>
      </c>
      <c r="E13" s="21" t="str">
        <f>VLOOKUP(B13,'RPA RoadMap'!B:AA,4,FALSE)</f>
        <v>NON-OCR</v>
      </c>
      <c r="F13" s="24" t="str">
        <f>VLOOKUP(B13,'RPA RoadMap'!B:R,5,FALSE)</f>
        <v>Daily</v>
      </c>
      <c r="G13" s="21" t="str">
        <f>VLOOKUP(B13,'RPA RoadMap'!B:R,13,FALSE)</f>
        <v>Complex</v>
      </c>
      <c r="H13" s="21">
        <f>VLOOKUP(B13,'RPA RoadMap'!B:R,6,FALSE)</f>
        <v>10</v>
      </c>
      <c r="I13" s="40">
        <f t="shared" si="2"/>
        <v>11.0276923076923</v>
      </c>
      <c r="J13" s="41">
        <f t="shared" si="3"/>
        <v>529329.230769231</v>
      </c>
      <c r="K13" s="41">
        <f t="shared" si="4"/>
        <v>118933.661538462</v>
      </c>
      <c r="L13" s="41">
        <f t="shared" si="5"/>
        <v>58259.2984615385</v>
      </c>
      <c r="M13" s="41">
        <f t="shared" si="6"/>
        <v>70930.1169230769</v>
      </c>
      <c r="N13" s="42">
        <f t="shared" si="7"/>
        <v>777452.307692308</v>
      </c>
      <c r="O13" s="43">
        <f t="shared" ref="O13:O19" si="16">I13*0.6</f>
        <v>6.61661538461538</v>
      </c>
      <c r="P13" s="43">
        <v>8</v>
      </c>
      <c r="Q13" s="43">
        <f t="shared" si="8"/>
        <v>0.0882215384615385</v>
      </c>
      <c r="R13" s="43">
        <f t="shared" si="9"/>
        <v>6219.61846153846</v>
      </c>
      <c r="S13" s="55">
        <f t="shared" si="10"/>
        <v>4.41107692307692</v>
      </c>
      <c r="T13" s="56">
        <f t="shared" si="11"/>
        <v>310980.923076923</v>
      </c>
      <c r="U13" s="56">
        <v>5000</v>
      </c>
      <c r="V13" s="56">
        <f>(((D13/Configurations!$B$2)*(Configurations!$B$2/12))*(P13/100))*((49000/(Configurations!$B$2/12))/1440)</f>
        <v>97.5644444444445</v>
      </c>
      <c r="W13" s="56">
        <v>21000</v>
      </c>
      <c r="X13" s="56">
        <v>0</v>
      </c>
      <c r="Y13" s="56">
        <f t="shared" ref="Y13:Y14" si="17">((600000/4)/22)*29</f>
        <v>197727.272727273</v>
      </c>
      <c r="Z13" s="56">
        <f t="shared" si="12"/>
        <v>22826.0869565217</v>
      </c>
      <c r="AA13" s="56">
        <f t="shared" si="13"/>
        <v>536631.847205162</v>
      </c>
      <c r="AB13" s="62">
        <f t="shared" si="0"/>
        <v>240820.460487146</v>
      </c>
      <c r="AC13" s="63">
        <f t="shared" si="1"/>
        <v>0.309755927282494</v>
      </c>
    </row>
    <row r="14" spans="1:29">
      <c r="A14" s="21">
        <v>0</v>
      </c>
      <c r="B14" s="24" t="s">
        <v>54</v>
      </c>
      <c r="C14" s="21" t="s">
        <v>19</v>
      </c>
      <c r="D14" s="21">
        <f>VLOOKUP(B14,'RPA RoadMap'!B:R,3,)</f>
        <v>12829</v>
      </c>
      <c r="E14" s="21" t="str">
        <f>VLOOKUP(B14,'RPA RoadMap'!B:AA,4,FALSE)</f>
        <v>NON-OCR</v>
      </c>
      <c r="F14" s="24" t="str">
        <f>VLOOKUP(B14,'RPA RoadMap'!B:R,5,FALSE)</f>
        <v>Monthly</v>
      </c>
      <c r="G14" s="21" t="str">
        <f>VLOOKUP(B14,'RPA RoadMap'!B:R,13,FALSE)</f>
        <v>Complex</v>
      </c>
      <c r="H14" s="21">
        <f>VLOOKUP(B14,'RPA RoadMap'!B:R,6,FALSE)</f>
        <v>10</v>
      </c>
      <c r="I14" s="40">
        <f t="shared" si="2"/>
        <v>19.7369230769231</v>
      </c>
      <c r="J14" s="41">
        <f t="shared" si="3"/>
        <v>947372.307692308</v>
      </c>
      <c r="K14" s="41">
        <f t="shared" si="4"/>
        <v>212862.715384615</v>
      </c>
      <c r="L14" s="41">
        <f t="shared" si="5"/>
        <v>104270.164615385</v>
      </c>
      <c r="M14" s="41">
        <f t="shared" si="6"/>
        <v>126947.889230769</v>
      </c>
      <c r="N14" s="42">
        <f t="shared" si="7"/>
        <v>1391453.07692308</v>
      </c>
      <c r="O14" s="43">
        <f t="shared" si="16"/>
        <v>11.8421538461538</v>
      </c>
      <c r="P14" s="43">
        <v>8</v>
      </c>
      <c r="Q14" s="43">
        <f t="shared" si="8"/>
        <v>0.157895384615385</v>
      </c>
      <c r="R14" s="43">
        <f t="shared" si="9"/>
        <v>11131.6246153846</v>
      </c>
      <c r="S14" s="55">
        <f t="shared" si="10"/>
        <v>7.89476923076923</v>
      </c>
      <c r="T14" s="56">
        <f t="shared" si="11"/>
        <v>556581.230769231</v>
      </c>
      <c r="U14" s="56">
        <v>5000</v>
      </c>
      <c r="V14" s="56">
        <f>(((D14/Configurations!$B$2)*(Configurations!$B$2/12))*(P14/100))*((49000/(Configurations!$B$2/12))/1440)</f>
        <v>174.616944444444</v>
      </c>
      <c r="W14" s="56">
        <v>21000</v>
      </c>
      <c r="X14" s="56">
        <v>0</v>
      </c>
      <c r="Y14" s="56">
        <f t="shared" si="17"/>
        <v>197727.272727273</v>
      </c>
      <c r="Z14" s="56">
        <f t="shared" si="12"/>
        <v>22826.0869565217</v>
      </c>
      <c r="AA14" s="56">
        <f t="shared" si="13"/>
        <v>782309.20739747</v>
      </c>
      <c r="AB14" s="62">
        <f t="shared" si="0"/>
        <v>609143.869525607</v>
      </c>
      <c r="AC14" s="63">
        <f t="shared" si="1"/>
        <v>0.437775358456649</v>
      </c>
    </row>
    <row r="15" s="18" customFormat="1" spans="1:29">
      <c r="A15" s="26">
        <v>1</v>
      </c>
      <c r="B15" s="27" t="s">
        <v>190</v>
      </c>
      <c r="C15" s="26" t="s">
        <v>19</v>
      </c>
      <c r="D15" s="26">
        <f>VLOOKUP(B15,'RPA_SOP_Analysis_ABG Team SI-2'!A:G,4,)</f>
        <v>14999</v>
      </c>
      <c r="E15" s="26" t="s">
        <v>34</v>
      </c>
      <c r="F15" s="27">
        <f>VLOOKUP(B15,'RPA_SOP_Analysis_ABG Team SI-2'!A:G,6,FALSE)</f>
        <v>0</v>
      </c>
      <c r="G15" s="26" t="s">
        <v>20</v>
      </c>
      <c r="H15" s="26">
        <v>30</v>
      </c>
      <c r="I15" s="44">
        <f t="shared" si="2"/>
        <v>69.2261538461538</v>
      </c>
      <c r="J15" s="45">
        <f t="shared" si="3"/>
        <v>3322855.38461538</v>
      </c>
      <c r="K15" s="45">
        <f t="shared" si="4"/>
        <v>746604.069230769</v>
      </c>
      <c r="L15" s="45">
        <f t="shared" si="5"/>
        <v>365721.770769231</v>
      </c>
      <c r="M15" s="45">
        <f t="shared" si="6"/>
        <v>445262.621538461</v>
      </c>
      <c r="N15" s="46">
        <f t="shared" si="7"/>
        <v>4880443.84615385</v>
      </c>
      <c r="O15" s="44">
        <f t="shared" si="16"/>
        <v>41.5356923076923</v>
      </c>
      <c r="P15" s="44">
        <v>8</v>
      </c>
      <c r="Q15" s="44">
        <f t="shared" si="8"/>
        <v>0.184603076923077</v>
      </c>
      <c r="R15" s="44">
        <f t="shared" si="9"/>
        <v>13014.5169230769</v>
      </c>
      <c r="S15" s="44">
        <f t="shared" si="10"/>
        <v>27.6904615384615</v>
      </c>
      <c r="T15" s="45">
        <f t="shared" si="11"/>
        <v>1952177.53846154</v>
      </c>
      <c r="U15" s="45">
        <v>5000</v>
      </c>
      <c r="V15" s="45">
        <f>(((D15/Configurations!$B$2)*(Configurations!$B$2/12))*(P15/100))*((49000/(Configurations!$B$2/12))/1440)</f>
        <v>204.153055555556</v>
      </c>
      <c r="W15" s="45">
        <v>21000</v>
      </c>
      <c r="X15" s="45">
        <f>(1400000/12)/8</f>
        <v>14583.3333333333</v>
      </c>
      <c r="Y15" s="45">
        <f>(600000/4)*(58/30)</f>
        <v>290000</v>
      </c>
      <c r="Z15" s="45">
        <f t="shared" si="12"/>
        <v>22826.0869565217</v>
      </c>
      <c r="AA15" s="45">
        <f t="shared" si="13"/>
        <v>2284791.11180695</v>
      </c>
      <c r="AB15" s="64">
        <f t="shared" si="0"/>
        <v>2595652.7343469</v>
      </c>
      <c r="AC15" s="65">
        <f t="shared" si="1"/>
        <v>0.531847679467199</v>
      </c>
    </row>
    <row r="16" ht="24" spans="1:29">
      <c r="A16" s="21">
        <v>2</v>
      </c>
      <c r="B16" s="24" t="s">
        <v>41</v>
      </c>
      <c r="C16" s="21" t="s">
        <v>19</v>
      </c>
      <c r="D16" s="21">
        <f>VLOOKUP(B16,'RPA RoadMap'!B:R,3,)</f>
        <v>8925</v>
      </c>
      <c r="E16" s="21" t="str">
        <f>VLOOKUP(B16,'RPA RoadMap'!B:AA,4,FALSE)</f>
        <v>OCR</v>
      </c>
      <c r="F16" s="24" t="str">
        <f>VLOOKUP(B16,'RPA RoadMap'!B:R,5,FALSE)</f>
        <v>Daily</v>
      </c>
      <c r="G16" s="21" t="str">
        <f>VLOOKUP(B16,'RPA RoadMap'!B:R,13,FALSE)</f>
        <v>Complex</v>
      </c>
      <c r="H16" s="21">
        <f>VLOOKUP(B16,'RPA RoadMap'!B:R,6,FALSE)</f>
        <v>25</v>
      </c>
      <c r="I16" s="40">
        <f t="shared" si="2"/>
        <v>34.3269230769231</v>
      </c>
      <c r="J16" s="41">
        <f t="shared" si="3"/>
        <v>1647692.30769231</v>
      </c>
      <c r="K16" s="41">
        <f t="shared" si="4"/>
        <v>370215.865384615</v>
      </c>
      <c r="L16" s="41">
        <f t="shared" si="5"/>
        <v>181349.134615385</v>
      </c>
      <c r="M16" s="41">
        <f t="shared" si="6"/>
        <v>220790.769230769</v>
      </c>
      <c r="N16" s="42">
        <f t="shared" si="7"/>
        <v>2420048.07692308</v>
      </c>
      <c r="O16" s="43">
        <f t="shared" si="16"/>
        <v>20.5961538461538</v>
      </c>
      <c r="P16" s="43">
        <v>8</v>
      </c>
      <c r="Q16" s="43">
        <f t="shared" si="8"/>
        <v>0.109846153846154</v>
      </c>
      <c r="R16" s="43">
        <f t="shared" si="9"/>
        <v>7744.15384615385</v>
      </c>
      <c r="S16" s="55">
        <f t="shared" si="10"/>
        <v>13.7307692307692</v>
      </c>
      <c r="T16" s="56">
        <f t="shared" si="11"/>
        <v>968019.230769231</v>
      </c>
      <c r="U16" s="56">
        <v>5000</v>
      </c>
      <c r="V16" s="56">
        <f>(((D16/Configurations!$B$2)*(Configurations!$B$2/12))*(P16/100))*((49000/(Configurations!$B$2/12))/1440)</f>
        <v>121.479166666667</v>
      </c>
      <c r="W16" s="56">
        <v>21000</v>
      </c>
      <c r="X16" s="56">
        <f t="shared" ref="X16:X22" si="18">(1400000/12)/8</f>
        <v>14583.3333333333</v>
      </c>
      <c r="Y16" s="56">
        <f>(600000/4)*(58/30)</f>
        <v>290000</v>
      </c>
      <c r="Z16" s="56">
        <f t="shared" si="12"/>
        <v>22826.0869565217</v>
      </c>
      <c r="AA16" s="56">
        <f t="shared" si="13"/>
        <v>1300550.13022575</v>
      </c>
      <c r="AB16" s="62">
        <f t="shared" si="0"/>
        <v>1119497.94669732</v>
      </c>
      <c r="AC16" s="63">
        <f t="shared" si="1"/>
        <v>0.462593267205124</v>
      </c>
    </row>
    <row r="17" ht="36" spans="1:29">
      <c r="A17" s="21">
        <v>2</v>
      </c>
      <c r="B17" s="24" t="s">
        <v>45</v>
      </c>
      <c r="C17" s="21" t="s">
        <v>19</v>
      </c>
      <c r="D17" s="21">
        <f>VLOOKUP(B17,'RPA RoadMap'!B:R,3,)</f>
        <v>5854</v>
      </c>
      <c r="E17" s="21" t="str">
        <f>VLOOKUP(B17,'RPA RoadMap'!B:AA,4,FALSE)</f>
        <v>OCR</v>
      </c>
      <c r="F17" s="24" t="str">
        <f>VLOOKUP(B17,'RPA RoadMap'!B:R,5,FALSE)</f>
        <v>Daily</v>
      </c>
      <c r="G17" s="21" t="str">
        <f>VLOOKUP(B17,'RPA RoadMap'!B:R,13,FALSE)</f>
        <v>Complex</v>
      </c>
      <c r="H17" s="21">
        <f>VLOOKUP(B17,'RPA RoadMap'!B:R,6,FALSE)</f>
        <v>25</v>
      </c>
      <c r="I17" s="40">
        <f t="shared" si="2"/>
        <v>22.5153846153846</v>
      </c>
      <c r="J17" s="41">
        <f t="shared" si="3"/>
        <v>1080738.46153846</v>
      </c>
      <c r="K17" s="41">
        <f t="shared" si="4"/>
        <v>242828.423076923</v>
      </c>
      <c r="L17" s="41">
        <f t="shared" si="5"/>
        <v>118948.776923077</v>
      </c>
      <c r="M17" s="41">
        <f t="shared" si="6"/>
        <v>144818.953846154</v>
      </c>
      <c r="N17" s="42">
        <f t="shared" si="7"/>
        <v>1587334.61538462</v>
      </c>
      <c r="O17" s="43">
        <f t="shared" si="16"/>
        <v>13.5092307692308</v>
      </c>
      <c r="P17" s="43">
        <v>8</v>
      </c>
      <c r="Q17" s="43">
        <f t="shared" si="8"/>
        <v>0.0720492307692308</v>
      </c>
      <c r="R17" s="43">
        <f t="shared" si="9"/>
        <v>5079.47076923077</v>
      </c>
      <c r="S17" s="55">
        <f t="shared" si="10"/>
        <v>9.00615384615385</v>
      </c>
      <c r="T17" s="56">
        <f t="shared" si="11"/>
        <v>634933.846153846</v>
      </c>
      <c r="U17" s="56">
        <v>5000</v>
      </c>
      <c r="V17" s="56">
        <f>(((D17/Configurations!$B$2)*(Configurations!$B$2/12))*(P17/100))*((49000/(Configurations!$B$2/12))/1440)</f>
        <v>79.6794444444444</v>
      </c>
      <c r="W17" s="56">
        <v>21000</v>
      </c>
      <c r="X17" s="56">
        <f t="shared" si="18"/>
        <v>14583.3333333333</v>
      </c>
      <c r="Y17" s="56">
        <f>(600000/4)*(58/30)</f>
        <v>290000</v>
      </c>
      <c r="Z17" s="56">
        <f t="shared" si="12"/>
        <v>22826.0869565217</v>
      </c>
      <c r="AA17" s="56">
        <f t="shared" si="13"/>
        <v>967422.945888146</v>
      </c>
      <c r="AB17" s="62">
        <f t="shared" si="0"/>
        <v>619911.66949647</v>
      </c>
      <c r="AC17" s="63">
        <f t="shared" si="1"/>
        <v>0.390536225625158</v>
      </c>
    </row>
    <row r="18" spans="1:29">
      <c r="A18" s="21">
        <v>3</v>
      </c>
      <c r="B18" s="24" t="s">
        <v>517</v>
      </c>
      <c r="C18" s="21" t="s">
        <v>19</v>
      </c>
      <c r="D18" s="21">
        <f>VLOOKUP(B18,'RPA_SOP_Analysis_ABG Team SI-2'!A:G,4,)</f>
        <v>540</v>
      </c>
      <c r="E18" s="21" t="str">
        <f>VLOOKUP(B18,'RPA_SOP_Analysis_ABG Team SI-2'!A:G,5,FALSE)</f>
        <v>OCR</v>
      </c>
      <c r="F18" s="24" t="str">
        <f>VLOOKUP(B18,'RPA_SOP_Analysis_ABG Team SI-2'!A:G,6,FALSE)</f>
        <v>Yearly</v>
      </c>
      <c r="G18" s="21" t="s">
        <v>20</v>
      </c>
      <c r="H18" s="21">
        <v>120</v>
      </c>
      <c r="I18" s="40">
        <f t="shared" si="2"/>
        <v>9.96923076923077</v>
      </c>
      <c r="J18" s="41">
        <f t="shared" si="3"/>
        <v>478523.076923077</v>
      </c>
      <c r="K18" s="41">
        <f t="shared" si="4"/>
        <v>107518.153846154</v>
      </c>
      <c r="L18" s="41">
        <f t="shared" si="5"/>
        <v>52667.4461538462</v>
      </c>
      <c r="M18" s="41">
        <f t="shared" si="6"/>
        <v>64122.0923076923</v>
      </c>
      <c r="N18" s="42">
        <f t="shared" si="7"/>
        <v>702830.769230769</v>
      </c>
      <c r="O18" s="43">
        <f t="shared" si="16"/>
        <v>5.98153846153846</v>
      </c>
      <c r="P18" s="43">
        <v>8</v>
      </c>
      <c r="Q18" s="43">
        <f t="shared" si="8"/>
        <v>0.00664615384615385</v>
      </c>
      <c r="R18" s="43">
        <f t="shared" si="9"/>
        <v>468.553846153846</v>
      </c>
      <c r="S18" s="55">
        <f t="shared" si="10"/>
        <v>3.98769230769231</v>
      </c>
      <c r="T18" s="56">
        <f t="shared" si="11"/>
        <v>281132.307692308</v>
      </c>
      <c r="U18" s="56">
        <v>5000</v>
      </c>
      <c r="V18" s="56">
        <f>(((D18/Configurations!$B$2)*(Configurations!$B$2/12))*(P18/100))*((49000/(Configurations!$B$2/12))/1440)</f>
        <v>7.35</v>
      </c>
      <c r="W18" s="56">
        <v>21000</v>
      </c>
      <c r="X18" s="56">
        <f t="shared" si="18"/>
        <v>14583.3333333333</v>
      </c>
      <c r="Y18" s="56">
        <f>(600000/4)*(58/30)</f>
        <v>290000</v>
      </c>
      <c r="Z18" s="56">
        <f t="shared" si="12"/>
        <v>22826.0869565217</v>
      </c>
      <c r="AA18" s="56">
        <f t="shared" si="13"/>
        <v>613549.077982163</v>
      </c>
      <c r="AB18" s="62">
        <f t="shared" si="0"/>
        <v>89281.6912486064</v>
      </c>
      <c r="AC18" s="63">
        <f t="shared" si="1"/>
        <v>0.127031563154702</v>
      </c>
    </row>
    <row r="19" spans="1:29">
      <c r="A19" s="21">
        <v>4</v>
      </c>
      <c r="B19" s="24" t="s">
        <v>512</v>
      </c>
      <c r="C19" s="21" t="s">
        <v>19</v>
      </c>
      <c r="D19" s="21">
        <f>VLOOKUP(B19,'RPA_SOP_Analysis_ABG Team SI-2'!A:G,4,)</f>
        <v>2700</v>
      </c>
      <c r="E19" s="21" t="str">
        <f>VLOOKUP(B19,'RPA_SOP_Analysis_ABG Team SI-2'!A:G,5,FALSE)</f>
        <v>OCR</v>
      </c>
      <c r="F19" s="24" t="str">
        <f>VLOOKUP(B19,'RPA_SOP_Analysis_ABG Team SI-2'!A:G,6,FALSE)</f>
        <v>Yearly</v>
      </c>
      <c r="G19" s="21" t="s">
        <v>20</v>
      </c>
      <c r="H19" s="21">
        <v>120</v>
      </c>
      <c r="I19" s="40">
        <f t="shared" si="2"/>
        <v>49.8461538461538</v>
      </c>
      <c r="J19" s="41">
        <f t="shared" si="3"/>
        <v>2392615.38461538</v>
      </c>
      <c r="K19" s="41">
        <f t="shared" si="4"/>
        <v>537590.769230769</v>
      </c>
      <c r="L19" s="41">
        <f t="shared" si="5"/>
        <v>263337.230769231</v>
      </c>
      <c r="M19" s="41">
        <f t="shared" si="6"/>
        <v>320610.461538462</v>
      </c>
      <c r="N19" s="42">
        <f t="shared" si="7"/>
        <v>3514153.84615385</v>
      </c>
      <c r="O19" s="43">
        <f t="shared" si="16"/>
        <v>29.9076923076923</v>
      </c>
      <c r="P19" s="43">
        <v>8</v>
      </c>
      <c r="Q19" s="43">
        <f t="shared" si="8"/>
        <v>0.0332307692307692</v>
      </c>
      <c r="R19" s="43">
        <f t="shared" si="9"/>
        <v>2342.76923076923</v>
      </c>
      <c r="S19" s="55">
        <f t="shared" si="10"/>
        <v>19.9384615384615</v>
      </c>
      <c r="T19" s="56">
        <f t="shared" si="11"/>
        <v>1405661.53846154</v>
      </c>
      <c r="U19" s="56">
        <v>5000</v>
      </c>
      <c r="V19" s="56">
        <f>(((D19/Configurations!$B$2)*(Configurations!$B$2/12))*(P19/100))*((49000/(Configurations!$B$2/12))/1440)</f>
        <v>36.75</v>
      </c>
      <c r="W19" s="56">
        <v>21000</v>
      </c>
      <c r="X19" s="56">
        <f t="shared" si="18"/>
        <v>14583.3333333333</v>
      </c>
      <c r="Y19" s="56">
        <f>(600000/4)*(58/30)</f>
        <v>290000</v>
      </c>
      <c r="Z19" s="56">
        <f t="shared" si="12"/>
        <v>22826.0869565217</v>
      </c>
      <c r="AA19" s="56">
        <f t="shared" si="13"/>
        <v>1738107.70875139</v>
      </c>
      <c r="AB19" s="62">
        <f t="shared" si="0"/>
        <v>1776046.13740245</v>
      </c>
      <c r="AC19" s="63">
        <f t="shared" si="1"/>
        <v>0.505397946463354</v>
      </c>
    </row>
    <row r="20" spans="1:29">
      <c r="A20" s="21">
        <v>5</v>
      </c>
      <c r="B20" s="24" t="s">
        <v>43</v>
      </c>
      <c r="C20" s="21" t="s">
        <v>19</v>
      </c>
      <c r="D20" s="21">
        <f>VLOOKUP(B20,'RPA RoadMap'!B:R,3,)</f>
        <v>3695</v>
      </c>
      <c r="E20" s="21" t="str">
        <f>VLOOKUP(B20,'RPA RoadMap'!B:AA,4,FALSE)</f>
        <v>OCR</v>
      </c>
      <c r="F20" s="24" t="str">
        <f>VLOOKUP(B20,'RPA RoadMap'!B:R,5,FALSE)</f>
        <v>Weekly</v>
      </c>
      <c r="G20" s="21" t="str">
        <f>VLOOKUP(B20,'RPA RoadMap'!B:R,13,FALSE)</f>
        <v>Medium</v>
      </c>
      <c r="H20" s="21">
        <f>VLOOKUP(B20,'RPA RoadMap'!B:R,6,FALSE)</f>
        <v>8</v>
      </c>
      <c r="I20" s="40">
        <f t="shared" si="2"/>
        <v>4.54769230769231</v>
      </c>
      <c r="J20" s="41">
        <f t="shared" si="3"/>
        <v>218289.230769231</v>
      </c>
      <c r="K20" s="41">
        <f t="shared" si="4"/>
        <v>49046.8615384615</v>
      </c>
      <c r="L20" s="41">
        <f t="shared" si="5"/>
        <v>24025.4584615385</v>
      </c>
      <c r="M20" s="41">
        <f t="shared" si="6"/>
        <v>29250.7569230769</v>
      </c>
      <c r="N20" s="42">
        <f t="shared" si="7"/>
        <v>320612.307692308</v>
      </c>
      <c r="O20" s="43">
        <f>I20*0.7</f>
        <v>3.18338461538461</v>
      </c>
      <c r="P20" s="43">
        <v>8</v>
      </c>
      <c r="Q20" s="43">
        <f t="shared" si="8"/>
        <v>0.0454769230769231</v>
      </c>
      <c r="R20" s="43">
        <f t="shared" si="9"/>
        <v>3206.12307692308</v>
      </c>
      <c r="S20" s="55">
        <f t="shared" si="10"/>
        <v>1.36430769230769</v>
      </c>
      <c r="T20" s="56">
        <f t="shared" si="11"/>
        <v>96183.6923076923</v>
      </c>
      <c r="U20" s="56">
        <v>5000</v>
      </c>
      <c r="V20" s="56">
        <f>(((D20/Configurations!$B$2)*(Configurations!$B$2/12))*(P20/100))*((49000/(Configurations!$B$2/12))/1440)</f>
        <v>50.2930555555556</v>
      </c>
      <c r="W20" s="56">
        <v>21000</v>
      </c>
      <c r="X20" s="56">
        <f t="shared" si="18"/>
        <v>14583.3333333333</v>
      </c>
      <c r="Y20" s="56">
        <f>(600000/4)*(44/30)</f>
        <v>220000</v>
      </c>
      <c r="Z20" s="56">
        <f t="shared" si="12"/>
        <v>22826.0869565217</v>
      </c>
      <c r="AA20" s="56">
        <f t="shared" si="13"/>
        <v>358643.405653103</v>
      </c>
      <c r="AB20" s="62">
        <f t="shared" si="0"/>
        <v>-38031.0979607952</v>
      </c>
      <c r="AC20" s="63">
        <f t="shared" si="1"/>
        <v>-0.118620205925762</v>
      </c>
    </row>
    <row r="21" spans="1:29">
      <c r="A21" s="21">
        <v>6</v>
      </c>
      <c r="B21" s="24" t="s">
        <v>46</v>
      </c>
      <c r="C21" s="21" t="s">
        <v>19</v>
      </c>
      <c r="D21" s="21">
        <f>VLOOKUP(B21,'RPA RoadMap'!B:R,3,)</f>
        <v>2981</v>
      </c>
      <c r="E21" s="21" t="str">
        <f>VLOOKUP(B21,'RPA RoadMap'!B:AA,4,FALSE)</f>
        <v>OCR</v>
      </c>
      <c r="F21" s="24" t="str">
        <f>VLOOKUP(B21,'RPA RoadMap'!B:R,5,FALSE)</f>
        <v>Daily</v>
      </c>
      <c r="G21" s="21" t="str">
        <f>VLOOKUP(B21,'RPA RoadMap'!B:R,13,FALSE)</f>
        <v>Complex</v>
      </c>
      <c r="H21" s="21">
        <f>VLOOKUP(B21,'RPA RoadMap'!B:R,6,FALSE)</f>
        <v>7</v>
      </c>
      <c r="I21" s="40">
        <f t="shared" si="2"/>
        <v>3.21030769230769</v>
      </c>
      <c r="J21" s="41">
        <f t="shared" si="3"/>
        <v>154094.769230769</v>
      </c>
      <c r="K21" s="41">
        <f t="shared" si="4"/>
        <v>34623.1684615385</v>
      </c>
      <c r="L21" s="41">
        <f t="shared" si="5"/>
        <v>16960.0555384615</v>
      </c>
      <c r="M21" s="41">
        <f t="shared" si="6"/>
        <v>20648.6990769231</v>
      </c>
      <c r="N21" s="42">
        <f t="shared" si="7"/>
        <v>226326.692307692</v>
      </c>
      <c r="O21" s="43">
        <f t="shared" ref="O21:O22" si="19">I21*0.6</f>
        <v>1.92618461538462</v>
      </c>
      <c r="P21" s="43">
        <v>8</v>
      </c>
      <c r="Q21" s="43">
        <f t="shared" si="8"/>
        <v>0.0366892307692308</v>
      </c>
      <c r="R21" s="43">
        <f t="shared" si="9"/>
        <v>2586.59076923077</v>
      </c>
      <c r="S21" s="55">
        <f t="shared" si="10"/>
        <v>1.28412307692308</v>
      </c>
      <c r="T21" s="56">
        <f t="shared" si="11"/>
        <v>90530.6769230769</v>
      </c>
      <c r="U21" s="56">
        <v>5000</v>
      </c>
      <c r="V21" s="56">
        <f>(((D21/Configurations!$B$2)*(Configurations!$B$2/12))*(P21/100))*((49000/(Configurations!$B$2/12))/1440)</f>
        <v>40.5747222222222</v>
      </c>
      <c r="W21" s="56">
        <v>21000</v>
      </c>
      <c r="X21" s="56">
        <f t="shared" si="18"/>
        <v>14583.3333333333</v>
      </c>
      <c r="Y21" s="56">
        <f>(600000/4)*(58/30)</f>
        <v>290000</v>
      </c>
      <c r="Z21" s="56">
        <f t="shared" si="12"/>
        <v>22826.0869565217</v>
      </c>
      <c r="AA21" s="56">
        <f t="shared" si="13"/>
        <v>422980.671935154</v>
      </c>
      <c r="AB21" s="62">
        <f t="shared" si="0"/>
        <v>-196653.979627462</v>
      </c>
      <c r="AC21" s="63">
        <f t="shared" si="1"/>
        <v>-0.868894329795223</v>
      </c>
    </row>
    <row r="22" ht="24" spans="1:29">
      <c r="A22" s="21">
        <v>6</v>
      </c>
      <c r="B22" s="24" t="s">
        <v>48</v>
      </c>
      <c r="C22" s="21" t="s">
        <v>19</v>
      </c>
      <c r="D22" s="21">
        <f>VLOOKUP(B22,'RPA RoadMap'!B:R,3,)</f>
        <v>9845</v>
      </c>
      <c r="E22" s="21" t="str">
        <f>VLOOKUP(B22,'RPA RoadMap'!B:AA,4,FALSE)</f>
        <v>OCR</v>
      </c>
      <c r="F22" s="24" t="str">
        <f>VLOOKUP(B22,'RPA RoadMap'!B:R,5,FALSE)</f>
        <v>Weekly</v>
      </c>
      <c r="G22" s="21" t="str">
        <f>VLOOKUP(B22,'RPA RoadMap'!B:R,13,FALSE)</f>
        <v>Complex</v>
      </c>
      <c r="H22" s="21">
        <f>VLOOKUP(B22,'RPA RoadMap'!B:R,6,FALSE)</f>
        <v>10</v>
      </c>
      <c r="I22" s="40">
        <f t="shared" si="2"/>
        <v>15.1461538461538</v>
      </c>
      <c r="J22" s="41">
        <f t="shared" si="3"/>
        <v>727015.384615385</v>
      </c>
      <c r="K22" s="41">
        <f t="shared" si="4"/>
        <v>163351.269230769</v>
      </c>
      <c r="L22" s="41">
        <f t="shared" si="5"/>
        <v>80017.1307692308</v>
      </c>
      <c r="M22" s="41">
        <f t="shared" si="6"/>
        <v>97420.0615384615</v>
      </c>
      <c r="N22" s="42">
        <f t="shared" si="7"/>
        <v>1067803.84615385</v>
      </c>
      <c r="O22" s="43">
        <f t="shared" si="19"/>
        <v>9.08769230769231</v>
      </c>
      <c r="P22" s="43">
        <v>8</v>
      </c>
      <c r="Q22" s="43">
        <f t="shared" si="8"/>
        <v>0.121169230769231</v>
      </c>
      <c r="R22" s="43">
        <f t="shared" si="9"/>
        <v>8542.43076923077</v>
      </c>
      <c r="S22" s="55">
        <f t="shared" si="10"/>
        <v>6.05846153846154</v>
      </c>
      <c r="T22" s="56">
        <f t="shared" si="11"/>
        <v>427121.538461538</v>
      </c>
      <c r="U22" s="56">
        <v>5000</v>
      </c>
      <c r="V22" s="56">
        <f>(((D22/Configurations!$B$2)*(Configurations!$B$2/12))*(P22/100))*((49000/(Configurations!$B$2/12))/1440)</f>
        <v>134.001388888889</v>
      </c>
      <c r="W22" s="56">
        <v>21000</v>
      </c>
      <c r="X22" s="56">
        <f t="shared" si="18"/>
        <v>14583.3333333333</v>
      </c>
      <c r="Y22" s="56">
        <f>(600000/4)*(58/30)</f>
        <v>290000</v>
      </c>
      <c r="Z22" s="56">
        <f t="shared" si="12"/>
        <v>22826.0869565217</v>
      </c>
      <c r="AA22" s="56">
        <f t="shared" si="13"/>
        <v>759664.960140282</v>
      </c>
      <c r="AB22" s="62">
        <f t="shared" si="0"/>
        <v>308138.886013564</v>
      </c>
      <c r="AC22" s="63">
        <f t="shared" si="1"/>
        <v>0.288572556770102</v>
      </c>
    </row>
    <row r="23" spans="1:29">
      <c r="A23" s="21">
        <v>7</v>
      </c>
      <c r="B23" s="24" t="s">
        <v>76</v>
      </c>
      <c r="C23" s="21" t="s">
        <v>19</v>
      </c>
      <c r="D23" s="21">
        <f>VLOOKUP(B23,'RPA RoadMap'!B:R,3,)</f>
        <v>10287</v>
      </c>
      <c r="E23" s="21" t="str">
        <f>VLOOKUP(B23,'RPA RoadMap'!B:AA,4,FALSE)</f>
        <v>NON-OCR</v>
      </c>
      <c r="F23" s="24" t="str">
        <f>VLOOKUP(B23,'RPA RoadMap'!B:R,5,FALSE)</f>
        <v>Monthly</v>
      </c>
      <c r="G23" s="21" t="str">
        <f>VLOOKUP(B23,'RPA RoadMap'!B:R,13,FALSE)</f>
        <v>Simple</v>
      </c>
      <c r="H23" s="21">
        <f>VLOOKUP(B23,'RPA RoadMap'!B:R,6,FALSE)</f>
        <v>10</v>
      </c>
      <c r="I23" s="40">
        <f t="shared" si="2"/>
        <v>15.8261538461538</v>
      </c>
      <c r="J23" s="41">
        <f t="shared" si="3"/>
        <v>759655.384615385</v>
      </c>
      <c r="K23" s="41">
        <f t="shared" si="4"/>
        <v>170685.069230769</v>
      </c>
      <c r="L23" s="41">
        <f t="shared" si="5"/>
        <v>83609.5707692308</v>
      </c>
      <c r="M23" s="41">
        <f t="shared" si="6"/>
        <v>101793.821538462</v>
      </c>
      <c r="N23" s="42">
        <f t="shared" si="7"/>
        <v>1115743.84615385</v>
      </c>
      <c r="O23" s="43">
        <f>I23*0.8</f>
        <v>12.6609230769231</v>
      </c>
      <c r="P23" s="43">
        <v>8</v>
      </c>
      <c r="Q23" s="43">
        <f t="shared" si="8"/>
        <v>0.126609230769231</v>
      </c>
      <c r="R23" s="43">
        <f t="shared" si="9"/>
        <v>8925.95076923077</v>
      </c>
      <c r="S23" s="55">
        <f t="shared" si="10"/>
        <v>3.16523076923077</v>
      </c>
      <c r="T23" s="56">
        <f t="shared" si="11"/>
        <v>223148.769230769</v>
      </c>
      <c r="U23" s="56">
        <v>5000</v>
      </c>
      <c r="V23" s="56">
        <f>(((D23/Configurations!$B$2)*(Configurations!$B$2/12))*(P23/100))*((49000/(Configurations!$B$2/12))/1440)</f>
        <v>140.0175</v>
      </c>
      <c r="W23" s="56">
        <v>21000</v>
      </c>
      <c r="X23" s="56">
        <v>0</v>
      </c>
      <c r="Y23" s="56">
        <f>((600000/4)/22)*24</f>
        <v>163636.363636364</v>
      </c>
      <c r="Z23" s="56">
        <f t="shared" si="12"/>
        <v>22826.0869565217</v>
      </c>
      <c r="AA23" s="56">
        <f t="shared" si="13"/>
        <v>414751.237323655</v>
      </c>
      <c r="AB23" s="62">
        <f t="shared" si="0"/>
        <v>700992.608830191</v>
      </c>
      <c r="AC23" s="63">
        <f t="shared" si="1"/>
        <v>0.628273784566797</v>
      </c>
    </row>
    <row r="24" spans="1:29">
      <c r="A24" s="21">
        <v>8</v>
      </c>
      <c r="B24" s="24" t="s">
        <v>177</v>
      </c>
      <c r="C24" s="21" t="s">
        <v>19</v>
      </c>
      <c r="D24" s="21">
        <f>VLOOKUP(B24,'RPA_SOP_Analysis_ABG Team SI-2'!A:G,4,)</f>
        <v>3558</v>
      </c>
      <c r="E24" s="21" t="s">
        <v>11</v>
      </c>
      <c r="F24" s="24">
        <f>VLOOKUP(B24,'RPA_SOP_Analysis_ABG Team SI-2'!A:G,6,FALSE)</f>
        <v>0</v>
      </c>
      <c r="G24" s="21" t="s">
        <v>13</v>
      </c>
      <c r="H24" s="21">
        <v>10</v>
      </c>
      <c r="I24" s="40">
        <f t="shared" si="2"/>
        <v>5.47384615384615</v>
      </c>
      <c r="J24" s="41">
        <f t="shared" si="3"/>
        <v>262744.615384615</v>
      </c>
      <c r="K24" s="41">
        <f t="shared" si="4"/>
        <v>59035.4307692308</v>
      </c>
      <c r="L24" s="41">
        <f t="shared" si="5"/>
        <v>28918.3292307692</v>
      </c>
      <c r="M24" s="41">
        <f t="shared" si="6"/>
        <v>35207.7784615385</v>
      </c>
      <c r="N24" s="42">
        <f t="shared" si="7"/>
        <v>385906.153846154</v>
      </c>
      <c r="O24" s="43">
        <f t="shared" ref="O24:O26" si="20">I24*0.7</f>
        <v>3.83169230769231</v>
      </c>
      <c r="P24" s="43">
        <v>8</v>
      </c>
      <c r="Q24" s="43">
        <f t="shared" si="8"/>
        <v>0.0437907692307692</v>
      </c>
      <c r="R24" s="43">
        <f t="shared" si="9"/>
        <v>3087.24923076923</v>
      </c>
      <c r="S24" s="55">
        <f t="shared" si="10"/>
        <v>1.64215384615385</v>
      </c>
      <c r="T24" s="56">
        <f t="shared" si="11"/>
        <v>115771.846153846</v>
      </c>
      <c r="U24" s="56">
        <v>5001</v>
      </c>
      <c r="V24" s="56">
        <f>(((D24/Configurations!$B$2)*(Configurations!$B$2/12))*(P24/100))*((49000/(Configurations!$B$2/12))/1440)</f>
        <v>48.4283333333333</v>
      </c>
      <c r="W24" s="56">
        <v>21000</v>
      </c>
      <c r="X24" s="56">
        <v>0</v>
      </c>
      <c r="Y24" s="56">
        <f t="shared" ref="Y24:Y26" si="21">((600000/4)/22)*29</f>
        <v>197727.272727273</v>
      </c>
      <c r="Z24" s="56">
        <f t="shared" si="12"/>
        <v>22826.0869565217</v>
      </c>
      <c r="AA24" s="56">
        <f t="shared" si="13"/>
        <v>341374.634170974</v>
      </c>
      <c r="AB24" s="62">
        <f t="shared" si="0"/>
        <v>44531.5196751798</v>
      </c>
      <c r="AC24" s="63">
        <f t="shared" si="1"/>
        <v>0.115394686587281</v>
      </c>
    </row>
    <row r="25" ht="24" spans="1:29">
      <c r="A25" s="21">
        <v>9</v>
      </c>
      <c r="B25" s="24" t="s">
        <v>524</v>
      </c>
      <c r="C25" s="21" t="s">
        <v>19</v>
      </c>
      <c r="D25" s="21">
        <f>VLOOKUP(B25,'RPA_SOP_Analysis_ABG Team SI-2'!A:G,4,)</f>
        <v>45835</v>
      </c>
      <c r="E25" s="21" t="str">
        <f>VLOOKUP(B25,'RPA_SOP_Analysis_ABG Team SI-2'!A:G,5,FALSE)</f>
        <v>NON-OCR</v>
      </c>
      <c r="F25" s="24" t="str">
        <f>VLOOKUP(B25,'RPA_SOP_Analysis_ABG Team SI-2'!A:G,6,FALSE)</f>
        <v>Daily</v>
      </c>
      <c r="G25" s="21" t="s">
        <v>13</v>
      </c>
      <c r="H25" s="21">
        <f>VLOOKUP(B25,'RPA_SOP_Analysis_ABG Team SI-2'!A:G,7,FALSE)</f>
        <v>10</v>
      </c>
      <c r="I25" s="40">
        <f t="shared" si="2"/>
        <v>70.5153846153846</v>
      </c>
      <c r="J25" s="41">
        <f t="shared" si="3"/>
        <v>3384738.46153846</v>
      </c>
      <c r="K25" s="41">
        <f t="shared" si="4"/>
        <v>760508.423076923</v>
      </c>
      <c r="L25" s="41">
        <f t="shared" si="5"/>
        <v>372532.776923077</v>
      </c>
      <c r="M25" s="41">
        <f t="shared" si="6"/>
        <v>453554.953846154</v>
      </c>
      <c r="N25" s="42">
        <f t="shared" si="7"/>
        <v>4971334.61538462</v>
      </c>
      <c r="O25" s="43">
        <f t="shared" si="20"/>
        <v>49.3607692307692</v>
      </c>
      <c r="P25" s="43">
        <v>8</v>
      </c>
      <c r="Q25" s="43">
        <f t="shared" si="8"/>
        <v>0.564123076923077</v>
      </c>
      <c r="R25" s="43">
        <f t="shared" si="9"/>
        <v>39770.6769230769</v>
      </c>
      <c r="S25" s="55">
        <f t="shared" si="10"/>
        <v>21.1546153846154</v>
      </c>
      <c r="T25" s="56">
        <f t="shared" si="11"/>
        <v>1491400.38461538</v>
      </c>
      <c r="U25" s="56">
        <v>5000</v>
      </c>
      <c r="V25" s="56">
        <f>(((D25/Configurations!$B$2)*(Configurations!$B$2/12))*(P25/100))*((49000/(Configurations!$B$2/12))/1440)</f>
        <v>623.865277777778</v>
      </c>
      <c r="W25" s="56">
        <v>21000</v>
      </c>
      <c r="X25" s="56">
        <v>0</v>
      </c>
      <c r="Y25" s="56">
        <f t="shared" si="21"/>
        <v>197727.272727273</v>
      </c>
      <c r="Z25" s="56">
        <f t="shared" si="12"/>
        <v>22826.0869565217</v>
      </c>
      <c r="AA25" s="56">
        <f t="shared" si="13"/>
        <v>1717577.60957696</v>
      </c>
      <c r="AB25" s="62">
        <f t="shared" si="0"/>
        <v>3253757.00580766</v>
      </c>
      <c r="AC25" s="63">
        <f t="shared" si="1"/>
        <v>0.654503721342428</v>
      </c>
    </row>
    <row r="26" spans="1:29">
      <c r="A26" s="21">
        <v>10</v>
      </c>
      <c r="B26" s="24" t="s">
        <v>25</v>
      </c>
      <c r="C26" s="21" t="s">
        <v>19</v>
      </c>
      <c r="D26" s="21">
        <f>VLOOKUP(B26,'RPA RoadMap'!B:R,3,)</f>
        <v>6804</v>
      </c>
      <c r="E26" s="21" t="str">
        <f>VLOOKUP(B26,'RPA RoadMap'!B:AA,4,FALSE)</f>
        <v>NON-OCR</v>
      </c>
      <c r="F26" s="24" t="str">
        <f>VLOOKUP(B26,'RPA RoadMap'!B:R,5,FALSE)</f>
        <v>Daily</v>
      </c>
      <c r="G26" s="21" t="str">
        <f>VLOOKUP(B26,'RPA RoadMap'!B:R,13,FALSE)</f>
        <v>Medium</v>
      </c>
      <c r="H26" s="21">
        <f>VLOOKUP(B26,'RPA RoadMap'!B:R,6,FALSE)</f>
        <v>10</v>
      </c>
      <c r="I26" s="40">
        <f t="shared" si="2"/>
        <v>10.4676923076923</v>
      </c>
      <c r="J26" s="41">
        <f t="shared" si="3"/>
        <v>502449.230769231</v>
      </c>
      <c r="K26" s="41">
        <f t="shared" si="4"/>
        <v>112894.061538462</v>
      </c>
      <c r="L26" s="41">
        <f t="shared" si="5"/>
        <v>55300.8184615385</v>
      </c>
      <c r="M26" s="41">
        <f t="shared" si="6"/>
        <v>67328.1969230769</v>
      </c>
      <c r="N26" s="42">
        <f t="shared" si="7"/>
        <v>737972.307692308</v>
      </c>
      <c r="O26" s="43">
        <f t="shared" si="20"/>
        <v>7.32738461538461</v>
      </c>
      <c r="P26" s="43">
        <v>8</v>
      </c>
      <c r="Q26" s="43">
        <f t="shared" si="8"/>
        <v>0.0837415384615385</v>
      </c>
      <c r="R26" s="43">
        <f t="shared" si="9"/>
        <v>5903.77846153846</v>
      </c>
      <c r="S26" s="55">
        <f t="shared" si="10"/>
        <v>3.14030769230769</v>
      </c>
      <c r="T26" s="56">
        <f t="shared" si="11"/>
        <v>221391.692307692</v>
      </c>
      <c r="U26" s="56">
        <v>5000</v>
      </c>
      <c r="V26" s="56">
        <f>(((D26/Configurations!$B$2)*(Configurations!$B$2/12))*(P26/100))*((49000/(Configurations!$B$2/12))/1440)</f>
        <v>92.61</v>
      </c>
      <c r="W26" s="56">
        <v>21000</v>
      </c>
      <c r="X26" s="56">
        <v>0</v>
      </c>
      <c r="Y26" s="56">
        <f t="shared" si="21"/>
        <v>197727.272727273</v>
      </c>
      <c r="Z26" s="56">
        <f t="shared" si="12"/>
        <v>22826.0869565217</v>
      </c>
      <c r="AA26" s="56">
        <f t="shared" si="13"/>
        <v>447037.661991487</v>
      </c>
      <c r="AB26" s="62">
        <f t="shared" si="0"/>
        <v>290934.645700821</v>
      </c>
      <c r="AC26" s="63">
        <f t="shared" si="1"/>
        <v>0.394235180193406</v>
      </c>
    </row>
    <row r="27" spans="9:19">
      <c r="I27" s="20">
        <f>SUM(I4:I26)</f>
        <v>501.940343589744</v>
      </c>
      <c r="J27" s="19">
        <f t="shared" si="3"/>
        <v>24093136.4923077</v>
      </c>
      <c r="K27" s="19">
        <f t="shared" si="4"/>
        <v>5413426.60561538</v>
      </c>
      <c r="L27" s="19">
        <f t="shared" si="5"/>
        <v>2651750.83518462</v>
      </c>
      <c r="M27" s="19">
        <f t="shared" si="6"/>
        <v>3228480.28996923</v>
      </c>
      <c r="N27" s="19">
        <f t="shared" si="7"/>
        <v>35386794.2230769</v>
      </c>
      <c r="O27" s="20">
        <f>SUM(O4:O26)</f>
        <v>326.871907435897</v>
      </c>
      <c r="S27" s="20">
        <f>SUM(S4:S26)</f>
        <v>175.068436153846</v>
      </c>
    </row>
    <row r="28" ht="14.5" spans="1:29">
      <c r="A28" s="28" t="s">
        <v>461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47">
        <f>SUM(N4:N27)</f>
        <v>70773588.4461538</v>
      </c>
      <c r="O28" s="48"/>
      <c r="P28" s="48"/>
      <c r="Q28" s="48"/>
      <c r="R28" s="48"/>
      <c r="S28" s="48"/>
      <c r="T28" s="57"/>
      <c r="U28" s="57"/>
      <c r="V28" s="57"/>
      <c r="W28" s="57"/>
      <c r="X28" s="57"/>
      <c r="Y28" s="57"/>
      <c r="Z28" s="57"/>
      <c r="AA28" s="62">
        <f>SUM(AA4:AA26)</f>
        <v>18198677.245057</v>
      </c>
      <c r="AB28" s="62">
        <f>(N28-AA28)</f>
        <v>52574911.2010969</v>
      </c>
      <c r="AC28" s="63">
        <f>(N28-AA28)/N28</f>
        <v>0.742860611640415</v>
      </c>
    </row>
  </sheetData>
  <mergeCells count="31">
    <mergeCell ref="A1:H1"/>
    <mergeCell ref="I1:N1"/>
    <mergeCell ref="S1:AA1"/>
    <mergeCell ref="AB1:AC1"/>
    <mergeCell ref="V2:X2"/>
    <mergeCell ref="Y2:Z2"/>
    <mergeCell ref="A28:M2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1:O3"/>
    <mergeCell ref="P1:P3"/>
    <mergeCell ref="Q1:Q3"/>
    <mergeCell ref="R1:R3"/>
    <mergeCell ref="S2:S3"/>
    <mergeCell ref="T2:T3"/>
    <mergeCell ref="U2:U3"/>
    <mergeCell ref="AA2:AA3"/>
    <mergeCell ref="AB2:AB3"/>
    <mergeCell ref="AC2:AC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2" sqref="B2"/>
    </sheetView>
  </sheetViews>
  <sheetFormatPr defaultColWidth="9" defaultRowHeight="14.5" outlineLevelCol="1"/>
  <cols>
    <col min="1" max="1" width="20.1363636363636" customWidth="1"/>
    <col min="2" max="2" width="10.1363636363636" customWidth="1"/>
  </cols>
  <sheetData>
    <row r="1" spans="1:2">
      <c r="A1" t="s">
        <v>387</v>
      </c>
      <c r="B1" t="s">
        <v>579</v>
      </c>
    </row>
    <row r="2" spans="1:2">
      <c r="A2" t="s">
        <v>580</v>
      </c>
      <c r="B2">
        <v>200</v>
      </c>
    </row>
    <row r="3" spans="1:2">
      <c r="A3" t="s">
        <v>581</v>
      </c>
      <c r="B3">
        <f>B2/12</f>
        <v>16.6666666666667</v>
      </c>
    </row>
    <row r="4" spans="1:2">
      <c r="A4" t="s">
        <v>558</v>
      </c>
      <c r="B4" s="15">
        <v>5000</v>
      </c>
    </row>
    <row r="5" spans="1:2">
      <c r="A5" t="s">
        <v>582</v>
      </c>
      <c r="B5">
        <v>6.5</v>
      </c>
    </row>
    <row r="6" spans="1:2">
      <c r="A6" t="s">
        <v>583</v>
      </c>
      <c r="B6">
        <v>60</v>
      </c>
    </row>
    <row r="7" spans="1:2">
      <c r="A7" t="s">
        <v>584</v>
      </c>
      <c r="B7" s="16">
        <v>0.8</v>
      </c>
    </row>
    <row r="8" spans="1:2">
      <c r="A8" t="s">
        <v>585</v>
      </c>
      <c r="B8" s="16">
        <v>0.7</v>
      </c>
    </row>
    <row r="9" spans="1:2">
      <c r="A9" t="s">
        <v>586</v>
      </c>
      <c r="B9" s="16">
        <v>0.6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E5" sqref="E5"/>
    </sheetView>
  </sheetViews>
  <sheetFormatPr defaultColWidth="9" defaultRowHeight="14.5"/>
  <cols>
    <col min="1" max="1" width="31.5727272727273" customWidth="1"/>
    <col min="2" max="2" width="8.70909090909091" style="13"/>
    <col min="7" max="7" width="17.1363636363636" customWidth="1"/>
    <col min="8" max="8" width="17.4272727272727" customWidth="1"/>
    <col min="9" max="9" width="16.4272727272727" customWidth="1"/>
    <col min="11" max="11" width="14.2818181818182" customWidth="1"/>
    <col min="13" max="13" width="15.4272727272727" customWidth="1"/>
    <col min="15" max="15" width="10.8545454545455" customWidth="1"/>
  </cols>
  <sheetData>
    <row r="1" spans="1:15">
      <c r="A1" s="14" t="s">
        <v>587</v>
      </c>
      <c r="B1" s="14"/>
      <c r="G1" t="s">
        <v>588</v>
      </c>
      <c r="H1" t="s">
        <v>589</v>
      </c>
      <c r="I1" t="s">
        <v>590</v>
      </c>
      <c r="K1" t="s">
        <v>591</v>
      </c>
      <c r="M1" t="s">
        <v>592</v>
      </c>
      <c r="O1" t="s">
        <v>593</v>
      </c>
    </row>
    <row r="2" spans="1:15">
      <c r="A2" t="s">
        <v>594</v>
      </c>
      <c r="B2" s="13">
        <v>6089</v>
      </c>
      <c r="E2">
        <v>6089</v>
      </c>
      <c r="G2">
        <v>6089</v>
      </c>
      <c r="H2">
        <v>3.82</v>
      </c>
      <c r="I2">
        <f>G2*H2</f>
        <v>23259.98</v>
      </c>
      <c r="K2">
        <f>I2/60</f>
        <v>387.666333333333</v>
      </c>
      <c r="M2">
        <f>K2/(200/12)</f>
        <v>23.25998</v>
      </c>
      <c r="O2">
        <f>M2/6.5</f>
        <v>3.57845846153846</v>
      </c>
    </row>
    <row r="3" spans="1:15">
      <c r="A3" t="s">
        <v>595</v>
      </c>
      <c r="B3" s="13">
        <v>200</v>
      </c>
      <c r="E3">
        <v>200</v>
      </c>
      <c r="G3">
        <v>3933</v>
      </c>
      <c r="H3">
        <v>3.62</v>
      </c>
      <c r="I3">
        <f t="shared" ref="I3:I24" si="0">G3*H3</f>
        <v>14237.46</v>
      </c>
      <c r="K3">
        <f t="shared" ref="K3:K24" si="1">I3/60</f>
        <v>237.291</v>
      </c>
      <c r="M3">
        <f t="shared" ref="M3:M24" si="2">K3/(200/12)</f>
        <v>14.23746</v>
      </c>
      <c r="O3">
        <f t="shared" ref="O3:O24" si="3">M3/6.5</f>
        <v>2.19037846153846</v>
      </c>
    </row>
    <row r="4" spans="1:15">
      <c r="A4" t="s">
        <v>596</v>
      </c>
      <c r="B4" s="13">
        <f>(B2/B3)*(B3/12)</f>
        <v>507.416666666667</v>
      </c>
      <c r="E4">
        <f>E2/E3</f>
        <v>30.445</v>
      </c>
      <c r="G4">
        <v>10692</v>
      </c>
      <c r="H4">
        <v>3.18</v>
      </c>
      <c r="I4">
        <f t="shared" si="0"/>
        <v>34000.56</v>
      </c>
      <c r="K4">
        <f t="shared" si="1"/>
        <v>566.676</v>
      </c>
      <c r="M4">
        <f t="shared" si="2"/>
        <v>34.00056</v>
      </c>
      <c r="O4">
        <f t="shared" si="3"/>
        <v>5.23085538461538</v>
      </c>
    </row>
    <row r="5" spans="1:15">
      <c r="A5" t="s">
        <v>597</v>
      </c>
      <c r="B5" s="13">
        <f>2.23/100</f>
        <v>0.0223</v>
      </c>
      <c r="G5">
        <v>48701</v>
      </c>
      <c r="H5">
        <v>10</v>
      </c>
      <c r="I5">
        <f t="shared" si="0"/>
        <v>487010</v>
      </c>
      <c r="K5">
        <f t="shared" si="1"/>
        <v>8116.83333333333</v>
      </c>
      <c r="M5">
        <f t="shared" si="2"/>
        <v>487.01</v>
      </c>
      <c r="O5">
        <f t="shared" si="3"/>
        <v>74.9246153846154</v>
      </c>
    </row>
    <row r="6" spans="1:15">
      <c r="A6" t="s">
        <v>598</v>
      </c>
      <c r="B6" s="13">
        <v>49000</v>
      </c>
      <c r="G6">
        <v>5310</v>
      </c>
      <c r="H6">
        <v>10</v>
      </c>
      <c r="I6">
        <f t="shared" si="0"/>
        <v>53100</v>
      </c>
      <c r="K6">
        <f t="shared" si="1"/>
        <v>885</v>
      </c>
      <c r="M6">
        <f t="shared" si="2"/>
        <v>53.1</v>
      </c>
      <c r="O6">
        <f t="shared" si="3"/>
        <v>8.16923076923077</v>
      </c>
    </row>
    <row r="7" spans="1:15">
      <c r="A7" t="s">
        <v>599</v>
      </c>
      <c r="B7" s="13">
        <f>B6/(B3/12)</f>
        <v>2940</v>
      </c>
      <c r="G7">
        <v>53182</v>
      </c>
      <c r="H7">
        <v>5</v>
      </c>
      <c r="I7">
        <f t="shared" si="0"/>
        <v>265910</v>
      </c>
      <c r="K7">
        <f t="shared" si="1"/>
        <v>4431.83333333333</v>
      </c>
      <c r="M7">
        <f t="shared" si="2"/>
        <v>265.91</v>
      </c>
      <c r="O7">
        <f t="shared" si="3"/>
        <v>40.9092307692308</v>
      </c>
    </row>
    <row r="8" spans="1:15">
      <c r="A8" t="s">
        <v>600</v>
      </c>
      <c r="B8" s="13">
        <f>24*60</f>
        <v>1440</v>
      </c>
      <c r="G8">
        <v>5000</v>
      </c>
      <c r="H8">
        <v>10</v>
      </c>
      <c r="I8">
        <f t="shared" si="0"/>
        <v>50000</v>
      </c>
      <c r="K8">
        <f t="shared" si="1"/>
        <v>833.333333333333</v>
      </c>
      <c r="M8">
        <f t="shared" si="2"/>
        <v>50</v>
      </c>
      <c r="O8">
        <f t="shared" si="3"/>
        <v>7.69230769230769</v>
      </c>
    </row>
    <row r="9" spans="1:15">
      <c r="A9" t="s">
        <v>601</v>
      </c>
      <c r="B9" s="13">
        <f>B7/B8</f>
        <v>2.04166666666667</v>
      </c>
      <c r="G9">
        <v>5000</v>
      </c>
      <c r="H9">
        <v>10</v>
      </c>
      <c r="I9">
        <f t="shared" si="0"/>
        <v>50000</v>
      </c>
      <c r="K9">
        <f t="shared" si="1"/>
        <v>833.333333333333</v>
      </c>
      <c r="M9">
        <f t="shared" si="2"/>
        <v>50</v>
      </c>
      <c r="O9">
        <f t="shared" si="3"/>
        <v>7.69230769230769</v>
      </c>
    </row>
    <row r="10" spans="1:15">
      <c r="A10" t="s">
        <v>602</v>
      </c>
      <c r="B10" s="13">
        <f>B4*B5</f>
        <v>11.3153916666667</v>
      </c>
      <c r="G10">
        <v>6316</v>
      </c>
      <c r="H10">
        <v>10</v>
      </c>
      <c r="I10">
        <f t="shared" si="0"/>
        <v>63160</v>
      </c>
      <c r="K10">
        <f t="shared" si="1"/>
        <v>1052.66666666667</v>
      </c>
      <c r="M10">
        <f t="shared" si="2"/>
        <v>63.16</v>
      </c>
      <c r="O10">
        <f t="shared" si="3"/>
        <v>9.71692307692308</v>
      </c>
    </row>
    <row r="11" spans="1:15">
      <c r="A11" t="s">
        <v>603</v>
      </c>
      <c r="B11" s="13">
        <f>B10*B9</f>
        <v>23.1022579861111</v>
      </c>
      <c r="G11">
        <v>7168</v>
      </c>
      <c r="H11">
        <v>10</v>
      </c>
      <c r="I11">
        <f t="shared" si="0"/>
        <v>71680</v>
      </c>
      <c r="K11">
        <f t="shared" si="1"/>
        <v>1194.66666666667</v>
      </c>
      <c r="M11">
        <f t="shared" si="2"/>
        <v>71.68</v>
      </c>
      <c r="O11">
        <f t="shared" si="3"/>
        <v>11.0276923076923</v>
      </c>
    </row>
    <row r="12" spans="7:15">
      <c r="G12">
        <v>12829</v>
      </c>
      <c r="H12">
        <v>10</v>
      </c>
      <c r="I12">
        <f t="shared" si="0"/>
        <v>128290</v>
      </c>
      <c r="K12">
        <f t="shared" si="1"/>
        <v>2138.16666666667</v>
      </c>
      <c r="M12">
        <f t="shared" si="2"/>
        <v>128.29</v>
      </c>
      <c r="O12">
        <f t="shared" si="3"/>
        <v>19.7369230769231</v>
      </c>
    </row>
    <row r="13" spans="7:15">
      <c r="G13">
        <v>14999</v>
      </c>
      <c r="H13">
        <v>30</v>
      </c>
      <c r="I13">
        <f t="shared" si="0"/>
        <v>449970</v>
      </c>
      <c r="K13">
        <f t="shared" si="1"/>
        <v>7499.5</v>
      </c>
      <c r="M13">
        <f t="shared" si="2"/>
        <v>449.97</v>
      </c>
      <c r="O13">
        <f t="shared" si="3"/>
        <v>69.2261538461538</v>
      </c>
    </row>
    <row r="14" spans="7:15">
      <c r="G14">
        <v>8925</v>
      </c>
      <c r="H14">
        <v>25</v>
      </c>
      <c r="I14">
        <f t="shared" si="0"/>
        <v>223125</v>
      </c>
      <c r="K14">
        <f t="shared" si="1"/>
        <v>3718.75</v>
      </c>
      <c r="M14">
        <f t="shared" si="2"/>
        <v>223.125</v>
      </c>
      <c r="O14">
        <f t="shared" si="3"/>
        <v>34.3269230769231</v>
      </c>
    </row>
    <row r="15" spans="7:15">
      <c r="G15">
        <v>5854</v>
      </c>
      <c r="H15">
        <v>25</v>
      </c>
      <c r="I15">
        <f t="shared" si="0"/>
        <v>146350</v>
      </c>
      <c r="K15">
        <f t="shared" si="1"/>
        <v>2439.16666666667</v>
      </c>
      <c r="M15">
        <f t="shared" si="2"/>
        <v>146.35</v>
      </c>
      <c r="O15">
        <f t="shared" si="3"/>
        <v>22.5153846153846</v>
      </c>
    </row>
    <row r="16" spans="7:15">
      <c r="G16">
        <v>540</v>
      </c>
      <c r="H16">
        <v>120</v>
      </c>
      <c r="I16">
        <f t="shared" si="0"/>
        <v>64800</v>
      </c>
      <c r="K16">
        <f t="shared" si="1"/>
        <v>1080</v>
      </c>
      <c r="M16">
        <f t="shared" si="2"/>
        <v>64.8</v>
      </c>
      <c r="O16">
        <f t="shared" si="3"/>
        <v>9.96923076923077</v>
      </c>
    </row>
    <row r="17" spans="7:15">
      <c r="G17">
        <v>2700</v>
      </c>
      <c r="H17">
        <v>120</v>
      </c>
      <c r="I17">
        <f t="shared" si="0"/>
        <v>324000</v>
      </c>
      <c r="K17">
        <f t="shared" si="1"/>
        <v>5400</v>
      </c>
      <c r="M17">
        <f t="shared" si="2"/>
        <v>324</v>
      </c>
      <c r="O17">
        <f t="shared" si="3"/>
        <v>49.8461538461538</v>
      </c>
    </row>
    <row r="18" spans="7:15">
      <c r="G18">
        <v>3695</v>
      </c>
      <c r="H18">
        <v>8</v>
      </c>
      <c r="I18">
        <f t="shared" si="0"/>
        <v>29560</v>
      </c>
      <c r="K18">
        <f t="shared" si="1"/>
        <v>492.666666666667</v>
      </c>
      <c r="M18">
        <f t="shared" si="2"/>
        <v>29.56</v>
      </c>
      <c r="O18">
        <f t="shared" si="3"/>
        <v>4.54769230769231</v>
      </c>
    </row>
    <row r="19" spans="7:15">
      <c r="G19">
        <v>2981</v>
      </c>
      <c r="H19">
        <v>7</v>
      </c>
      <c r="I19">
        <f t="shared" si="0"/>
        <v>20867</v>
      </c>
      <c r="K19">
        <f t="shared" si="1"/>
        <v>347.783333333333</v>
      </c>
      <c r="M19">
        <f t="shared" si="2"/>
        <v>20.867</v>
      </c>
      <c r="O19">
        <f t="shared" si="3"/>
        <v>3.21030769230769</v>
      </c>
    </row>
    <row r="20" spans="7:15">
      <c r="G20">
        <v>9845</v>
      </c>
      <c r="H20">
        <v>10</v>
      </c>
      <c r="I20">
        <f t="shared" si="0"/>
        <v>98450</v>
      </c>
      <c r="K20">
        <f t="shared" si="1"/>
        <v>1640.83333333333</v>
      </c>
      <c r="M20">
        <f t="shared" si="2"/>
        <v>98.45</v>
      </c>
      <c r="O20">
        <f t="shared" si="3"/>
        <v>15.1461538461538</v>
      </c>
    </row>
    <row r="21" spans="7:15">
      <c r="G21">
        <v>10287</v>
      </c>
      <c r="H21">
        <v>10</v>
      </c>
      <c r="I21">
        <f t="shared" si="0"/>
        <v>102870</v>
      </c>
      <c r="K21">
        <f t="shared" si="1"/>
        <v>1714.5</v>
      </c>
      <c r="M21">
        <f t="shared" si="2"/>
        <v>102.87</v>
      </c>
      <c r="O21">
        <f t="shared" si="3"/>
        <v>15.8261538461538</v>
      </c>
    </row>
    <row r="22" spans="7:15">
      <c r="G22">
        <v>3558</v>
      </c>
      <c r="H22">
        <v>10</v>
      </c>
      <c r="I22">
        <f t="shared" si="0"/>
        <v>35580</v>
      </c>
      <c r="K22">
        <f t="shared" si="1"/>
        <v>593</v>
      </c>
      <c r="M22">
        <f t="shared" si="2"/>
        <v>35.58</v>
      </c>
      <c r="O22">
        <f t="shared" si="3"/>
        <v>5.47384615384615</v>
      </c>
    </row>
    <row r="23" spans="7:15">
      <c r="G23">
        <v>45835</v>
      </c>
      <c r="H23">
        <v>10</v>
      </c>
      <c r="I23">
        <f t="shared" si="0"/>
        <v>458350</v>
      </c>
      <c r="K23">
        <f t="shared" si="1"/>
        <v>7639.16666666667</v>
      </c>
      <c r="M23">
        <f t="shared" si="2"/>
        <v>458.35</v>
      </c>
      <c r="O23">
        <f t="shared" si="3"/>
        <v>70.5153846153846</v>
      </c>
    </row>
    <row r="24" spans="7:15">
      <c r="G24">
        <v>6804</v>
      </c>
      <c r="H24">
        <v>10</v>
      </c>
      <c r="I24">
        <f t="shared" si="0"/>
        <v>68040</v>
      </c>
      <c r="K24">
        <f t="shared" si="1"/>
        <v>1134</v>
      </c>
      <c r="M24">
        <f t="shared" si="2"/>
        <v>68.04</v>
      </c>
      <c r="O24">
        <f t="shared" si="3"/>
        <v>10.4676923076923</v>
      </c>
    </row>
    <row r="26" spans="8:9">
      <c r="H26" t="s">
        <v>604</v>
      </c>
      <c r="I26">
        <f>SUM(I2:I24)/60</f>
        <v>54376.8333333333</v>
      </c>
    </row>
    <row r="27" spans="8:9">
      <c r="H27" t="s">
        <v>605</v>
      </c>
      <c r="I27">
        <f>I26/(200/12)</f>
        <v>3262.61</v>
      </c>
    </row>
    <row r="28" spans="8:15">
      <c r="H28" t="s">
        <v>593</v>
      </c>
      <c r="I28">
        <f>I27/6.5</f>
        <v>501.94</v>
      </c>
      <c r="O28">
        <f>SUM(O2:O24)</f>
        <v>501.94</v>
      </c>
    </row>
    <row r="29" spans="15:15">
      <c r="O29">
        <f>O28*70500</f>
        <v>35386770</v>
      </c>
    </row>
  </sheetData>
  <mergeCells count="1">
    <mergeCell ref="A1:B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topLeftCell="A9" workbookViewId="0">
      <selection activeCell="I3" sqref="I3"/>
    </sheetView>
  </sheetViews>
  <sheetFormatPr defaultColWidth="8.70909090909091" defaultRowHeight="14.5" outlineLevelCol="1"/>
  <cols>
    <col min="1" max="1" width="25.4272727272727" style="6" customWidth="1"/>
    <col min="2" max="2" width="40.4272727272727" style="7" customWidth="1"/>
    <col min="3" max="16384" width="8.70909090909091" style="6"/>
  </cols>
  <sheetData>
    <row r="1" ht="53.45" customHeight="1"/>
    <row r="2" spans="1:2">
      <c r="A2" s="8" t="s">
        <v>606</v>
      </c>
      <c r="B2" s="8" t="s">
        <v>579</v>
      </c>
    </row>
    <row r="3" spans="1:2">
      <c r="A3" s="9" t="s">
        <v>607</v>
      </c>
      <c r="B3" s="10">
        <v>200</v>
      </c>
    </row>
    <row r="4" spans="1:2">
      <c r="A4" s="9" t="s">
        <v>608</v>
      </c>
      <c r="B4" s="10">
        <v>22</v>
      </c>
    </row>
    <row r="5" spans="1:2">
      <c r="A5" s="9" t="s">
        <v>609</v>
      </c>
      <c r="B5" s="10">
        <v>6.5</v>
      </c>
    </row>
    <row r="6" spans="1:2">
      <c r="A6" s="9" t="s">
        <v>610</v>
      </c>
      <c r="B6" s="11">
        <v>0.7</v>
      </c>
    </row>
    <row r="7" spans="1:2">
      <c r="A7" s="9" t="s">
        <v>611</v>
      </c>
      <c r="B7" s="11">
        <v>0.8</v>
      </c>
    </row>
    <row r="8" spans="1:2">
      <c r="A8" s="9" t="s">
        <v>612</v>
      </c>
      <c r="B8" s="11">
        <v>0.9</v>
      </c>
    </row>
    <row r="9" spans="1:2">
      <c r="A9" s="9" t="s">
        <v>613</v>
      </c>
      <c r="B9" s="12">
        <v>57.7901063337957</v>
      </c>
    </row>
    <row r="10" spans="1:2">
      <c r="A10" s="9" t="s">
        <v>583</v>
      </c>
      <c r="B10" s="10">
        <v>60</v>
      </c>
    </row>
    <row r="11" spans="1:2">
      <c r="A11" s="9" t="s">
        <v>614</v>
      </c>
      <c r="B11" s="12">
        <v>554.785020804438</v>
      </c>
    </row>
    <row r="12" spans="1:2">
      <c r="A12" s="9" t="s">
        <v>615</v>
      </c>
      <c r="B12" s="10">
        <v>30</v>
      </c>
    </row>
    <row r="13" spans="1:2">
      <c r="A13" s="9" t="s">
        <v>616</v>
      </c>
      <c r="B13" s="12">
        <v>124.653259361997</v>
      </c>
    </row>
    <row r="14" spans="1:2">
      <c r="A14" s="9" t="s">
        <v>617</v>
      </c>
      <c r="B14" s="12">
        <v>61.0610263522885</v>
      </c>
    </row>
    <row r="15" spans="1:2">
      <c r="A15" s="9" t="s">
        <v>618</v>
      </c>
      <c r="B15" s="12">
        <v>74.3411927877947</v>
      </c>
    </row>
    <row r="16" spans="1:2">
      <c r="A16" s="9" t="s">
        <v>619</v>
      </c>
      <c r="B16" s="10">
        <v>5</v>
      </c>
    </row>
    <row r="17" spans="1:2">
      <c r="A17" s="9" t="s">
        <v>620</v>
      </c>
      <c r="B17" s="10">
        <v>23</v>
      </c>
    </row>
    <row r="18" spans="1:2">
      <c r="A18" s="9" t="s">
        <v>621</v>
      </c>
      <c r="B18" s="10">
        <v>365</v>
      </c>
    </row>
    <row r="19" spans="1:2">
      <c r="A19" s="9" t="s">
        <v>622</v>
      </c>
      <c r="B19" s="10">
        <v>30</v>
      </c>
    </row>
    <row r="20" spans="1:2">
      <c r="A20" s="9" t="s">
        <v>623</v>
      </c>
      <c r="B20" s="10">
        <v>24</v>
      </c>
    </row>
    <row r="21" spans="1:2">
      <c r="A21" s="9" t="s">
        <v>624</v>
      </c>
      <c r="B21" s="12">
        <v>566.343042071197</v>
      </c>
    </row>
    <row r="22" spans="1:2">
      <c r="A22" s="9" t="s">
        <v>625</v>
      </c>
      <c r="B22" s="12">
        <v>16181.2297734628</v>
      </c>
    </row>
    <row r="23" spans="1:2">
      <c r="A23" s="9" t="s">
        <v>626</v>
      </c>
      <c r="B23" s="12">
        <v>242.718446601942</v>
      </c>
    </row>
    <row r="24" ht="26" spans="1:2">
      <c r="A24" s="9" t="s">
        <v>627</v>
      </c>
      <c r="B24" s="10">
        <v>3</v>
      </c>
    </row>
    <row r="25" ht="26" spans="1:2">
      <c r="A25" s="9" t="s">
        <v>628</v>
      </c>
      <c r="B25" s="10">
        <v>50000</v>
      </c>
    </row>
    <row r="26" spans="1:2">
      <c r="A26" s="9" t="s">
        <v>629</v>
      </c>
      <c r="B26" s="12">
        <v>1733.70319001387</v>
      </c>
    </row>
    <row r="27" spans="1:2">
      <c r="A27" s="9" t="s">
        <v>630</v>
      </c>
      <c r="B27" s="12">
        <v>1155.80212667591</v>
      </c>
    </row>
  </sheetData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9"/>
  <sheetViews>
    <sheetView zoomScale="93" zoomScaleNormal="93" workbookViewId="0">
      <selection activeCell="K2" sqref="K2"/>
    </sheetView>
  </sheetViews>
  <sheetFormatPr defaultColWidth="8.70909090909091" defaultRowHeight="12"/>
  <cols>
    <col min="1" max="1" width="8.70909090909091" style="1"/>
    <col min="2" max="2" width="10.1363636363636" style="1" customWidth="1"/>
    <col min="3" max="3" width="19.1363636363636" style="1" customWidth="1"/>
    <col min="4" max="4" width="12.5727272727273" style="1" customWidth="1"/>
    <col min="5" max="5" width="6.85454545454545" style="1" customWidth="1"/>
    <col min="6" max="6" width="7.57272727272727" style="1" customWidth="1"/>
    <col min="7" max="7" width="4.70909090909091" style="1" customWidth="1"/>
    <col min="8" max="8" width="5" style="1" customWidth="1"/>
    <col min="9" max="9" width="14.1363636363636" style="1" customWidth="1"/>
    <col min="10" max="10" width="8.13636363636364" style="1" customWidth="1"/>
    <col min="11" max="11" width="8.85454545454546" style="1" customWidth="1"/>
    <col min="12" max="12" width="14.7090909090909" style="1" customWidth="1"/>
    <col min="13" max="16384" width="8.70909090909091" style="1"/>
  </cols>
  <sheetData>
    <row r="1" ht="24" spans="1:12">
      <c r="A1" s="2" t="s">
        <v>631</v>
      </c>
      <c r="B1" s="2" t="s">
        <v>312</v>
      </c>
      <c r="C1" s="2" t="s">
        <v>632</v>
      </c>
      <c r="D1" s="3" t="s">
        <v>633</v>
      </c>
      <c r="E1" s="3" t="s">
        <v>634</v>
      </c>
      <c r="F1" s="2" t="s">
        <v>459</v>
      </c>
      <c r="G1" s="2" t="s">
        <v>635</v>
      </c>
      <c r="H1" s="2" t="s">
        <v>636</v>
      </c>
      <c r="I1" s="2" t="s">
        <v>637</v>
      </c>
      <c r="J1" s="2" t="s">
        <v>638</v>
      </c>
      <c r="K1" s="2" t="s">
        <v>639</v>
      </c>
      <c r="L1" s="2" t="s">
        <v>640</v>
      </c>
    </row>
    <row r="2" spans="1:12">
      <c r="A2" s="2" t="s">
        <v>34</v>
      </c>
      <c r="B2" s="2" t="s">
        <v>16</v>
      </c>
      <c r="C2" s="2" t="str">
        <f>_xlfn.CONCAT(A2,B2)</f>
        <v>OCRSimple</v>
      </c>
      <c r="D2" s="4">
        <v>2</v>
      </c>
      <c r="E2" s="4">
        <v>2</v>
      </c>
      <c r="F2" s="4">
        <v>10</v>
      </c>
      <c r="G2" s="4">
        <f>F2*30%</f>
        <v>3</v>
      </c>
      <c r="H2" s="4">
        <f>F2*20%</f>
        <v>2</v>
      </c>
      <c r="I2" s="4">
        <v>2</v>
      </c>
      <c r="J2" s="4">
        <v>10</v>
      </c>
      <c r="K2" s="4">
        <f>SUM(D2:J2)</f>
        <v>31</v>
      </c>
      <c r="L2" s="4">
        <f>K2/5</f>
        <v>6.2</v>
      </c>
    </row>
    <row r="3" spans="1:12">
      <c r="A3" s="2" t="s">
        <v>34</v>
      </c>
      <c r="B3" s="2" t="s">
        <v>13</v>
      </c>
      <c r="C3" s="2" t="str">
        <f t="shared" ref="C3:C7" si="0">_xlfn.CONCAT(A3,B3)</f>
        <v>OCRMedium</v>
      </c>
      <c r="D3" s="4">
        <v>3</v>
      </c>
      <c r="E3" s="4">
        <v>2</v>
      </c>
      <c r="F3" s="4">
        <v>20</v>
      </c>
      <c r="G3" s="4">
        <v>4</v>
      </c>
      <c r="H3" s="4">
        <v>3</v>
      </c>
      <c r="I3" s="4">
        <v>2</v>
      </c>
      <c r="J3" s="4">
        <v>10</v>
      </c>
      <c r="K3" s="4">
        <f t="shared" ref="K3:K7" si="1">SUM(D3:J3)</f>
        <v>44</v>
      </c>
      <c r="L3" s="4">
        <f t="shared" ref="L3:L7" si="2">K3/5</f>
        <v>8.8</v>
      </c>
    </row>
    <row r="4" spans="1:12">
      <c r="A4" s="2" t="s">
        <v>34</v>
      </c>
      <c r="B4" s="2" t="s">
        <v>20</v>
      </c>
      <c r="C4" s="2" t="str">
        <f t="shared" si="0"/>
        <v>OCRComplex</v>
      </c>
      <c r="D4" s="4">
        <v>4</v>
      </c>
      <c r="E4" s="4">
        <v>2</v>
      </c>
      <c r="F4" s="4">
        <v>30</v>
      </c>
      <c r="G4" s="4">
        <v>5</v>
      </c>
      <c r="H4" s="4">
        <v>5</v>
      </c>
      <c r="I4" s="4">
        <v>2</v>
      </c>
      <c r="J4" s="4">
        <v>10</v>
      </c>
      <c r="K4" s="4">
        <f t="shared" si="1"/>
        <v>58</v>
      </c>
      <c r="L4" s="4">
        <f t="shared" si="2"/>
        <v>11.6</v>
      </c>
    </row>
    <row r="5" spans="1:12">
      <c r="A5" s="2" t="s">
        <v>11</v>
      </c>
      <c r="B5" s="2" t="s">
        <v>16</v>
      </c>
      <c r="C5" s="2" t="str">
        <f t="shared" si="0"/>
        <v>NON-OCRSimple</v>
      </c>
      <c r="D5" s="4">
        <v>2</v>
      </c>
      <c r="E5" s="4">
        <v>1</v>
      </c>
      <c r="F5" s="4">
        <v>8</v>
      </c>
      <c r="G5" s="4">
        <v>1</v>
      </c>
      <c r="H5" s="4">
        <v>1</v>
      </c>
      <c r="I5" s="4">
        <v>1</v>
      </c>
      <c r="J5" s="4">
        <v>10</v>
      </c>
      <c r="K5" s="4">
        <f t="shared" si="1"/>
        <v>24</v>
      </c>
      <c r="L5" s="4">
        <f t="shared" si="2"/>
        <v>4.8</v>
      </c>
    </row>
    <row r="6" spans="1:12">
      <c r="A6" s="2" t="s">
        <v>11</v>
      </c>
      <c r="B6" s="2" t="s">
        <v>13</v>
      </c>
      <c r="C6" s="2" t="str">
        <f t="shared" si="0"/>
        <v>NON-OCRMedium</v>
      </c>
      <c r="D6" s="4">
        <v>2</v>
      </c>
      <c r="E6" s="4">
        <v>1</v>
      </c>
      <c r="F6" s="4">
        <v>10</v>
      </c>
      <c r="G6" s="4">
        <v>3</v>
      </c>
      <c r="H6" s="4">
        <f t="shared" ref="H6" si="3">F6*20%</f>
        <v>2</v>
      </c>
      <c r="I6" s="4">
        <v>1</v>
      </c>
      <c r="J6" s="4">
        <v>10</v>
      </c>
      <c r="K6" s="4">
        <f t="shared" si="1"/>
        <v>29</v>
      </c>
      <c r="L6" s="4">
        <f t="shared" si="2"/>
        <v>5.8</v>
      </c>
    </row>
    <row r="7" spans="1:12">
      <c r="A7" s="2" t="s">
        <v>11</v>
      </c>
      <c r="B7" s="2" t="s">
        <v>20</v>
      </c>
      <c r="C7" s="2" t="str">
        <f t="shared" si="0"/>
        <v>NON-OCRComplex</v>
      </c>
      <c r="D7" s="4">
        <v>2</v>
      </c>
      <c r="E7" s="4">
        <v>2</v>
      </c>
      <c r="F7" s="4">
        <v>20</v>
      </c>
      <c r="G7" s="4">
        <v>5</v>
      </c>
      <c r="H7" s="4">
        <v>3</v>
      </c>
      <c r="I7" s="4">
        <v>1</v>
      </c>
      <c r="J7" s="4">
        <v>10</v>
      </c>
      <c r="K7" s="4">
        <f t="shared" si="1"/>
        <v>43</v>
      </c>
      <c r="L7" s="4">
        <f t="shared" si="2"/>
        <v>8.6</v>
      </c>
    </row>
    <row r="9" ht="72" spans="3:3">
      <c r="C9" s="5" t="s">
        <v>641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076BF6D-81E9-4E40-8567-BC28235B85B7}">
  <ds:schemaRefs/>
</ds:datastoreItem>
</file>

<file path=customXml/itemProps2.xml><?xml version="1.0" encoding="utf-8"?>
<ds:datastoreItem xmlns:ds="http://schemas.openxmlformats.org/officeDocument/2006/customXml" ds:itemID="{A2741A91-5979-45D7-A0B2-F58DADE6B263}">
  <ds:schemaRefs/>
</ds:datastoreItem>
</file>

<file path=customXml/itemProps3.xml><?xml version="1.0" encoding="utf-8"?>
<ds:datastoreItem xmlns:ds="http://schemas.openxmlformats.org/officeDocument/2006/customXml" ds:itemID="{9E1D89CA-FD4B-44AA-94DE-16B51177CA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RPA RoadMap (2)</vt:lpstr>
      <vt:lpstr>RPA RoadMap (3)</vt:lpstr>
      <vt:lpstr>OverallProcesses</vt:lpstr>
      <vt:lpstr>Inventory</vt:lpstr>
      <vt:lpstr>Sheet1</vt:lpstr>
      <vt:lpstr>Sheet2</vt:lpstr>
      <vt:lpstr>Complexity Guidelines</vt:lpstr>
      <vt:lpstr>ROI</vt:lpstr>
      <vt:lpstr>License</vt:lpstr>
      <vt:lpstr>RPA RoadMap</vt:lpstr>
      <vt:lpstr>RPA_SOP_Analysis_ABG Team SI-2</vt:lpstr>
      <vt:lpstr>RPA_SOP_Analysis_ABG Team</vt:lpstr>
      <vt:lpstr>RPA_SOP_Analysis_ABG Team SI</vt:lpstr>
      <vt:lpstr>RPA_SOP_Analysis</vt:lpstr>
      <vt:lpstr>Gantt</vt:lpstr>
      <vt:lpstr>RPA ProcessCount_Frequency</vt:lpstr>
      <vt:lpstr>ROI Toolkit Parameters</vt:lpstr>
      <vt:lpstr>ROI-V1</vt:lpstr>
      <vt:lpstr>ROI-V2</vt:lpstr>
      <vt:lpstr>Configurations</vt:lpstr>
      <vt:lpstr>Runner Cost Verification</vt:lpstr>
      <vt:lpstr>Assumptions</vt:lpstr>
      <vt:lpstr>Estimation Guidelines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Rokade</dc:creator>
  <cp:lastModifiedBy>Krushna_Kadam</cp:lastModifiedBy>
  <dcterms:created xsi:type="dcterms:W3CDTF">2024-02-06T13:01:00Z</dcterms:created>
  <dcterms:modified xsi:type="dcterms:W3CDTF">2025-03-19T08:13:35Z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e53881-df09-4bb1-95d8-401b4bf79f6f_Enabled">
    <vt:lpwstr>true</vt:lpwstr>
  </property>
  <property fmtid="{D5CDD505-2E9C-101B-9397-08002B2CF9AE}" pid="3" name="MSIP_Label_23e53881-df09-4bb1-95d8-401b4bf79f6f_SetDate">
    <vt:lpwstr>2024-03-05T12:59:26Z</vt:lpwstr>
  </property>
  <property fmtid="{D5CDD505-2E9C-101B-9397-08002B2CF9AE}" pid="4" name="MSIP_Label_23e53881-df09-4bb1-95d8-401b4bf79f6f_Method">
    <vt:lpwstr>Privileged</vt:lpwstr>
  </property>
  <property fmtid="{D5CDD505-2E9C-101B-9397-08002B2CF9AE}" pid="5" name="MSIP_Label_23e53881-df09-4bb1-95d8-401b4bf79f6f_Name">
    <vt:lpwstr>23e53881-df09-4bb1-95d8-401b4bf79f6f</vt:lpwstr>
  </property>
  <property fmtid="{D5CDD505-2E9C-101B-9397-08002B2CF9AE}" pid="6" name="MSIP_Label_23e53881-df09-4bb1-95d8-401b4bf79f6f_SiteId">
    <vt:lpwstr>f87a5f5e-f97e-4aec-bab8-6e4187ef4f1c</vt:lpwstr>
  </property>
  <property fmtid="{D5CDD505-2E9C-101B-9397-08002B2CF9AE}" pid="7" name="MSIP_Label_23e53881-df09-4bb1-95d8-401b4bf79f6f_ActionId">
    <vt:lpwstr>877a458a-0aed-42d0-9ed2-0566d0496cca</vt:lpwstr>
  </property>
  <property fmtid="{D5CDD505-2E9C-101B-9397-08002B2CF9AE}" pid="8" name="MSIP_Label_23e53881-df09-4bb1-95d8-401b4bf79f6f_ContentBits">
    <vt:lpwstr>0</vt:lpwstr>
  </property>
  <property fmtid="{D5CDD505-2E9C-101B-9397-08002B2CF9AE}" pid="9" name="ContentTypeId">
    <vt:lpwstr>0x010100503D01B535423349AF8373D3F765E390</vt:lpwstr>
  </property>
  <property fmtid="{D5CDD505-2E9C-101B-9397-08002B2CF9AE}" pid="10" name="ICV">
    <vt:lpwstr>903D64C78ECB41F5A1CAEE378CCCB3C7_12</vt:lpwstr>
  </property>
  <property fmtid="{D5CDD505-2E9C-101B-9397-08002B2CF9AE}" pid="11" name="KSOProductBuildVer">
    <vt:lpwstr>1033-12.2.0.20326</vt:lpwstr>
  </property>
</Properties>
</file>